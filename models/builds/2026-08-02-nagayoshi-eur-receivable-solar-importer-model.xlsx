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egend-Key" sheetId="2" state="visible" r:id="rId2"/>
    <sheet xmlns:r="http://schemas.openxmlformats.org/officeDocument/2006/relationships" name="Inputs" sheetId="3" state="visible" r:id="rId3"/>
    <sheet xmlns:r="http://schemas.openxmlformats.org/officeDocument/2006/relationships" name="Forward" sheetId="4" state="visible" r:id="rId4"/>
    <sheet xmlns:r="http://schemas.openxmlformats.org/officeDocument/2006/relationships" name="MoneyMarket" sheetId="5" state="visible" r:id="rId5"/>
    <sheet xmlns:r="http://schemas.openxmlformats.org/officeDocument/2006/relationships" name="Options" sheetId="6" state="visible" r:id="rId6"/>
    <sheet xmlns:r="http://schemas.openxmlformats.org/officeDocument/2006/relationships" name="Sensitivity" sheetId="7" state="visible" r:id="rId7"/>
    <sheet xmlns:r="http://schemas.openxmlformats.org/officeDocument/2006/relationships" name="Notes-Assumptions" sheetId="8" state="visible" r:id="rId8"/>
  </sheets>
  <definedNames>
    <definedName name="BORROW_EUR" hidden="0" function="0" vbProcedure="0">MoneyMarket!$C$5</definedName>
    <definedName name="DF_FC" hidden="0" function="0" vbProcedure="0">Inputs!$D$19</definedName>
    <definedName name="DF_USD" hidden="0" function="0" vbProcedure="0">Inputs!$D$18</definedName>
    <definedName name="F0_in" hidden="0" function="0" vbProcedure="0">Inputs!$D$7</definedName>
    <definedName name="FC_AMT" hidden="0" function="0" vbProcedure="0">Inputs!$D$5</definedName>
    <definedName name="FV_NET_PREM_COLLAR" hidden="0" function="0" vbProcedure="0">Options!$C$6</definedName>
    <definedName name="FV_PREM_PUT" hidden="0" function="0" vbProcedure="0">Options!$C$5</definedName>
    <definedName name="F_IMPLIED" hidden="0" function="0" vbProcedure="0">MoneyMarket!$C$11</definedName>
    <definedName name="K_CALL" hidden="0" function="0" vbProcedure="0">Inputs!$D$11</definedName>
    <definedName name="K_PUT" hidden="0" function="0" vbProcedure="0">Inputs!$D$10</definedName>
    <definedName name="PARITY_GAP" hidden="0" function="0" vbProcedure="0">MoneyMarket!$C$12</definedName>
    <definedName name="PREM_CALL" hidden="0" function="0" vbProcedure="0">Inputs!$D$13</definedName>
    <definedName name="PREM_PUT" hidden="0" function="0" vbProcedure="0">Inputs!$D$12</definedName>
    <definedName name="R_FC" hidden="0" function="0" vbProcedure="0">Inputs!$D$9</definedName>
    <definedName name="R_USD" hidden="0" function="0" vbProcedure="0">Inputs!$D$8</definedName>
    <definedName name="S0_in" hidden="0" function="0" vbProcedure="0">Inputs!$D$6</definedName>
    <definedName name="STEP_PCT" hidden="0" function="0" vbProcedure="0">Inputs!$D$23</definedName>
    <definedName name="T_DAYS" hidden="0" function="0" vbProcedure="0">Inputs!$D$14</definedName>
    <definedName name="USD_COLLAR_BASE" hidden="0" function="0" vbProcedure="0">Options!$C$25</definedName>
    <definedName name="USD_FWD" hidden="0" function="0" vbProcedure="0">Forward!$C$5</definedName>
    <definedName name="USD_MM" hidden="0" function="0" vbProcedure="0">MoneyMarket!$C$7</definedName>
    <definedName name="USD_NOW" hidden="0" function="0" vbProcedure="0">MoneyMarket!$C$6</definedName>
    <definedName name="USD_PUT_BASE" hidden="0" function="0" vbProcedure="0">Options!$C$23</definedName>
    <definedName name="USD_PUT_FLOOR" hidden="0" function="0" vbProcedure="0">Options!$C$24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;&quot;(€&quot;#,##0\);\-"/>
    <numFmt numFmtId="165" formatCode="0.0000"/>
    <numFmt numFmtId="166" formatCode="\$0.000"/>
    <numFmt numFmtId="167" formatCode="0.000000"/>
    <numFmt numFmtId="168" formatCode="\$#,##0;&quot;($&quot;#,##0\);\-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4"/>
    </font>
    <font>
      <name val="Arial"/>
      <charset val="1"/>
      <family val="2"/>
      <b val="1"/>
      <sz val="11"/>
    </font>
    <font>
      <name val="Arial"/>
      <charset val="1"/>
      <family val="2"/>
      <sz val="11"/>
    </font>
    <font>
      <name val="Arial"/>
      <charset val="1"/>
      <family val="2"/>
      <b val="1"/>
      <color rgb="FFC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8000"/>
      <sz val="11"/>
    </font>
    <font>
      <name val="Arial"/>
      <charset val="1"/>
      <family val="2"/>
      <i val="1"/>
      <color rgb="FF666666"/>
      <sz val="11"/>
    </font>
    <font>
      <name val="Arial"/>
      <charset val="1"/>
      <family val="0"/>
      <i val="1"/>
      <color rgb="FFC00000"/>
      <sz val="11"/>
    </font>
    <font>
      <name val="Arial"/>
      <charset val="1"/>
      <family val="2"/>
      <i val="1"/>
      <color rgb="FFC00000"/>
      <sz val="11"/>
    </font>
    <font>
      <name val="Arial"/>
      <charset val="1"/>
      <family val="2"/>
      <b val="1"/>
      <color rgb="FF008000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E2EFDA"/>
      </patternFill>
    </fill>
    <fill>
      <patternFill patternType="solid">
        <fgColor rgb="FFD9D9D9"/>
        <bgColor rgb="FFDDEBF7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4" fontId="0" fillId="3" borderId="1" applyAlignment="1" pivotButton="0" quotePrefix="0" xfId="0">
      <alignment horizontal="general" vertical="bottom"/>
    </xf>
    <xf numFmtId="165" fontId="0" fillId="3" borderId="1" applyAlignment="1" pivotButton="0" quotePrefix="0" xfId="0">
      <alignment horizontal="general" vertical="bottom"/>
    </xf>
    <xf numFmtId="10" fontId="0" fillId="3" borderId="1" applyAlignment="1" pivotButton="0" quotePrefix="0" xfId="0">
      <alignment horizontal="general" vertical="bottom"/>
    </xf>
    <xf numFmtId="166" fontId="0" fillId="3" borderId="1" applyAlignment="1" pivotButton="0" quotePrefix="0" xfId="0">
      <alignment horizontal="general" vertical="bottom"/>
    </xf>
    <xf numFmtId="1" fontId="0" fillId="3" borderId="1" applyAlignment="1" pivotButton="0" quotePrefix="0" xfId="0">
      <alignment horizontal="general" vertical="bottom"/>
    </xf>
    <xf numFmtId="167" fontId="10" fillId="5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0" fontId="13" fillId="6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168" fontId="10" fillId="5" borderId="1" applyAlignment="1" pivotButton="0" quotePrefix="0" xfId="0">
      <alignment horizontal="general" vertical="bottom"/>
    </xf>
    <xf numFmtId="3" fontId="10" fillId="5" borderId="1" applyAlignment="1" pivotButton="0" quotePrefix="0" xfId="0">
      <alignment horizontal="general" vertical="bottom"/>
    </xf>
    <xf numFmtId="165" fontId="10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center" vertical="bottom"/>
    </xf>
    <xf numFmtId="168" fontId="11" fillId="6" borderId="1" applyAlignment="1" pivotButton="0" quotePrefix="0" xfId="0">
      <alignment horizontal="general" vertical="bottom"/>
    </xf>
    <xf numFmtId="165" fontId="11" fillId="6" borderId="1" applyAlignment="1" pivotButton="0" quotePrefix="0" xfId="0">
      <alignment horizontal="general" vertical="bottom"/>
    </xf>
    <xf numFmtId="165" fontId="15" fillId="6" borderId="1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4" fontId="0" fillId="3" borderId="1" applyAlignment="1" pivotButton="0" quotePrefix="0" xfId="0">
      <alignment horizontal="general" vertical="bottom"/>
    </xf>
    <xf numFmtId="165" fontId="0" fillId="3" borderId="1" applyAlignment="1" pivotButton="0" quotePrefix="0" xfId="0">
      <alignment horizontal="general" vertical="bottom"/>
    </xf>
    <xf numFmtId="10" fontId="0" fillId="3" borderId="1" applyAlignment="1" pivotButton="0" quotePrefix="0" xfId="0">
      <alignment horizontal="general" vertical="bottom"/>
    </xf>
    <xf numFmtId="166" fontId="0" fillId="3" borderId="1" applyAlignment="1" pivotButton="0" quotePrefix="0" xfId="0">
      <alignment horizontal="general" vertical="bottom"/>
    </xf>
    <xf numFmtId="1" fontId="0" fillId="3" borderId="1" applyAlignment="1" pivotButton="0" quotePrefix="0" xfId="0">
      <alignment horizontal="general" vertical="bottom"/>
    </xf>
    <xf numFmtId="167" fontId="10" fillId="5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0" fontId="13" fillId="6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168" fontId="10" fillId="5" borderId="1" applyAlignment="1" pivotButton="0" quotePrefix="0" xfId="0">
      <alignment horizontal="general" vertical="bottom"/>
    </xf>
    <xf numFmtId="3" fontId="10" fillId="5" borderId="1" applyAlignment="1" pivotButton="0" quotePrefix="0" xfId="0">
      <alignment horizontal="general" vertical="bottom"/>
    </xf>
    <xf numFmtId="165" fontId="10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center" vertical="bottom"/>
    </xf>
    <xf numFmtId="168" fontId="11" fillId="6" borderId="1" applyAlignment="1" pivotButton="0" quotePrefix="0" xfId="0">
      <alignment horizontal="general" vertical="bottom"/>
    </xf>
    <xf numFmtId="165" fontId="11" fillId="6" borderId="1" applyAlignment="1" pivotButton="0" quotePrefix="0" xfId="0">
      <alignment horizontal="general" vertical="bottom"/>
    </xf>
    <xf numFmtId="165" fontId="15" fillId="6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USD Proceeds vs. Settlement Spot (S_T)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Sensitivity!$C$13</f>
              <strCache>
                <ptCount val="1"/>
                <pt idx="0">
                  <v>No Hedge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cat>
            <strRef>
              <f>Sensitivity!$B$14:$B$24</f>
              <strCache>
                <ptCount val="11"/>
                <pt idx="0">
                  <v>1.0830</v>
                </pt>
                <pt idx="1">
                  <v>1.0944</v>
                </pt>
                <pt idx="2">
                  <v>1.1058</v>
                </pt>
                <pt idx="3">
                  <v>1.1172</v>
                </pt>
                <pt idx="4">
                  <v>1.1286</v>
                </pt>
                <pt idx="5">
                  <v>1.1400</v>
                </pt>
                <pt idx="6">
                  <v>1.1514</v>
                </pt>
                <pt idx="7">
                  <v>1.1628</v>
                </pt>
                <pt idx="8">
                  <v>1.1742</v>
                </pt>
                <pt idx="9">
                  <v>1.1856</v>
                </pt>
                <pt idx="10">
                  <v>1.1970</v>
                </pt>
              </strCache>
            </strRef>
          </cat>
          <val>
            <numRef>
              <f>Sensitivity!$C$14:$C$24</f>
              <numCache>
                <formatCode>\$#,##0;"($"#,##0\);\-</formatCode>
                <ptCount val="11"/>
                <pt idx="0">
                  <v>4274999.544</v>
                </pt>
                <pt idx="1">
                  <v>4319999.5392</v>
                </pt>
                <pt idx="2">
                  <v>4364999.5344</v>
                </pt>
                <pt idx="3">
                  <v>4409999.5296</v>
                </pt>
                <pt idx="4">
                  <v>4454999.5248</v>
                </pt>
                <pt idx="5">
                  <v>4499999.52</v>
                </pt>
                <pt idx="6">
                  <v>4544999.5152</v>
                </pt>
                <pt idx="7">
                  <v>4589999.5104</v>
                </pt>
                <pt idx="8">
                  <v>4634999.5056</v>
                </pt>
                <pt idx="9">
                  <v>4679999.5008</v>
                </pt>
                <pt idx="10">
                  <v>4724999.496</v>
                </pt>
              </numCache>
            </numRef>
          </val>
          <smooth val="0"/>
        </ser>
        <ser>
          <idx val="1"/>
          <order val="1"/>
          <tx>
            <strRef>
              <f>Sensitivity!$D$13</f>
              <strCache>
                <ptCount val="1"/>
                <pt idx="0">
                  <v>Forward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cat>
            <strRef>
              <f>Sensitivity!$B$14:$B$24</f>
              <strCache>
                <ptCount val="11"/>
                <pt idx="0">
                  <v>1.0830</v>
                </pt>
                <pt idx="1">
                  <v>1.0944</v>
                </pt>
                <pt idx="2">
                  <v>1.1058</v>
                </pt>
                <pt idx="3">
                  <v>1.1172</v>
                </pt>
                <pt idx="4">
                  <v>1.1286</v>
                </pt>
                <pt idx="5">
                  <v>1.1400</v>
                </pt>
                <pt idx="6">
                  <v>1.1514</v>
                </pt>
                <pt idx="7">
                  <v>1.1628</v>
                </pt>
                <pt idx="8">
                  <v>1.1742</v>
                </pt>
                <pt idx="9">
                  <v>1.1856</v>
                </pt>
                <pt idx="10">
                  <v>1.1970</v>
                </pt>
              </strCache>
            </strRef>
          </cat>
          <val>
            <numRef>
              <f>Sensitivity!$D$14:$D$24</f>
              <numCache>
                <formatCode>\$#,##0;"($"#,##0\);\-</formatCode>
                <ptCount val="11"/>
                <pt idx="0">
                  <v>4292762.7</v>
                </pt>
                <pt idx="1">
                  <v>4292762.7</v>
                </pt>
                <pt idx="2">
                  <v>4292762.7</v>
                </pt>
                <pt idx="3">
                  <v>4292762.7</v>
                </pt>
                <pt idx="4">
                  <v>4292762.7</v>
                </pt>
                <pt idx="5">
                  <v>4292762.7</v>
                </pt>
                <pt idx="6">
                  <v>4292762.7</v>
                </pt>
                <pt idx="7">
                  <v>4292762.7</v>
                </pt>
                <pt idx="8">
                  <v>4292762.7</v>
                </pt>
                <pt idx="9">
                  <v>4292762.7</v>
                </pt>
                <pt idx="10">
                  <v>4292762.7</v>
                </pt>
              </numCache>
            </numRef>
          </val>
          <smooth val="0"/>
        </ser>
        <ser>
          <idx val="2"/>
          <order val="2"/>
          <tx>
            <strRef>
              <f>Sensitivity!$E$13</f>
              <strCache>
                <ptCount val="1"/>
                <pt idx="0">
                  <v>Money Market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cat>
            <strRef>
              <f>Sensitivity!$B$14:$B$24</f>
              <strCache>
                <ptCount val="11"/>
                <pt idx="0">
                  <v>1.0830</v>
                </pt>
                <pt idx="1">
                  <v>1.0944</v>
                </pt>
                <pt idx="2">
                  <v>1.1058</v>
                </pt>
                <pt idx="3">
                  <v>1.1172</v>
                </pt>
                <pt idx="4">
                  <v>1.1286</v>
                </pt>
                <pt idx="5">
                  <v>1.1400</v>
                </pt>
                <pt idx="6">
                  <v>1.1514</v>
                </pt>
                <pt idx="7">
                  <v>1.1628</v>
                </pt>
                <pt idx="8">
                  <v>1.1742</v>
                </pt>
                <pt idx="9">
                  <v>1.1856</v>
                </pt>
                <pt idx="10">
                  <v>1.1970</v>
                </pt>
              </strCache>
            </strRef>
          </cat>
          <val>
            <numRef>
              <f>Sensitivity!$E$14:$E$24</f>
              <numCache>
                <formatCode>\$#,##0;"($"#,##0\);\-</formatCode>
                <ptCount val="11"/>
                <pt idx="0">
                  <v>4550979.64476033</v>
                </pt>
                <pt idx="1">
                  <v>4550979.64476033</v>
                </pt>
                <pt idx="2">
                  <v>4550979.64476033</v>
                </pt>
                <pt idx="3">
                  <v>4550979.64476033</v>
                </pt>
                <pt idx="4">
                  <v>4550979.64476033</v>
                </pt>
                <pt idx="5">
                  <v>4550979.64476033</v>
                </pt>
                <pt idx="6">
                  <v>4550979.64476033</v>
                </pt>
                <pt idx="7">
                  <v>4550979.64476033</v>
                </pt>
                <pt idx="8">
                  <v>4550979.64476033</v>
                </pt>
                <pt idx="9">
                  <v>4550979.64476033</v>
                </pt>
                <pt idx="10">
                  <v>4550979.64476033</v>
                </pt>
              </numCache>
            </numRef>
          </val>
          <smooth val="0"/>
        </ser>
        <ser>
          <idx val="3"/>
          <order val="3"/>
          <tx>
            <strRef>
              <f>Sensitivity!$F$13</f>
              <strCache>
                <ptCount val="1"/>
                <pt idx="0">
                  <v>Protective Put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cat>
            <strRef>
              <f>Sensitivity!$B$14:$B$24</f>
              <strCache>
                <ptCount val="11"/>
                <pt idx="0">
                  <v>1.0830</v>
                </pt>
                <pt idx="1">
                  <v>1.0944</v>
                </pt>
                <pt idx="2">
                  <v>1.1058</v>
                </pt>
                <pt idx="3">
                  <v>1.1172</v>
                </pt>
                <pt idx="4">
                  <v>1.1286</v>
                </pt>
                <pt idx="5">
                  <v>1.1400</v>
                </pt>
                <pt idx="6">
                  <v>1.1514</v>
                </pt>
                <pt idx="7">
                  <v>1.1628</v>
                </pt>
                <pt idx="8">
                  <v>1.1742</v>
                </pt>
                <pt idx="9">
                  <v>1.1856</v>
                </pt>
                <pt idx="10">
                  <v>1.1970</v>
                </pt>
              </strCache>
            </strRef>
          </cat>
          <val>
            <numRef>
              <f>Sensitivity!$F$14:$F$24</f>
              <numCache>
                <formatCode>\$#,##0;"($"#,##0\);\-</formatCode>
                <ptCount val="11"/>
                <pt idx="0">
                  <v>4438369.67460017</v>
                </pt>
                <pt idx="1">
                  <v>4438369.67460017</v>
                </pt>
                <pt idx="2">
                  <v>4438369.67460017</v>
                </pt>
                <pt idx="3">
                  <v>4438369.67460017</v>
                </pt>
                <pt idx="4">
                  <v>4438369.67460017</v>
                </pt>
                <pt idx="5">
                  <v>4438369.67460017</v>
                </pt>
                <pt idx="6">
                  <v>4483369.66980017</v>
                </pt>
                <pt idx="7">
                  <v>4528369.66500017</v>
                </pt>
                <pt idx="8">
                  <v>4573369.66020017</v>
                </pt>
                <pt idx="9">
                  <v>4618369.65540017</v>
                </pt>
                <pt idx="10">
                  <v>4663369.65060017</v>
                </pt>
              </numCache>
            </numRef>
          </val>
          <smooth val="0"/>
        </ser>
        <ser>
          <idx val="4"/>
          <order val="4"/>
          <tx>
            <strRef>
              <f>Sensitivity!$G$13</f>
              <strCache>
                <ptCount val="1"/>
                <pt idx="0">
                  <v>Collar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cat>
            <strRef>
              <f>Sensitivity!$B$14:$B$24</f>
              <strCache>
                <ptCount val="11"/>
                <pt idx="0">
                  <v>1.0830</v>
                </pt>
                <pt idx="1">
                  <v>1.0944</v>
                </pt>
                <pt idx="2">
                  <v>1.1058</v>
                </pt>
                <pt idx="3">
                  <v>1.1172</v>
                </pt>
                <pt idx="4">
                  <v>1.1286</v>
                </pt>
                <pt idx="5">
                  <v>1.1400</v>
                </pt>
                <pt idx="6">
                  <v>1.1514</v>
                </pt>
                <pt idx="7">
                  <v>1.1628</v>
                </pt>
                <pt idx="8">
                  <v>1.1742</v>
                </pt>
                <pt idx="9">
                  <v>1.1856</v>
                </pt>
                <pt idx="10">
                  <v>1.1970</v>
                </pt>
              </strCache>
            </strRef>
          </cat>
          <val>
            <numRef>
              <f>Sensitivity!$G$14:$G$24</f>
              <numCache>
                <formatCode>\$#,##0;"($"#,##0\);\-</formatCode>
                <ptCount val="11"/>
                <pt idx="0">
                  <v>4512325.48907997</v>
                </pt>
                <pt idx="1">
                  <v>4512325.48907997</v>
                </pt>
                <pt idx="2">
                  <v>4512325.48907997</v>
                </pt>
                <pt idx="3">
                  <v>4512325.48907997</v>
                </pt>
                <pt idx="4">
                  <v>4512325.48907997</v>
                </pt>
                <pt idx="5">
                  <v>4512325.48907997</v>
                </pt>
                <pt idx="6">
                  <v>4512325.48907997</v>
                </pt>
                <pt idx="7">
                  <v>4512325.48907997</v>
                </pt>
                <pt idx="8">
                  <v>4512325.48907997</v>
                </pt>
                <pt idx="9">
                  <v>4512325.48907997</v>
                </pt>
                <pt idx="10">
                  <v>4512325.48907997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70371589"/>
        <axId val="54012225"/>
      </lineChart>
      <catAx>
        <axId val="7037158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S_T (USD per EUR)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012225"/>
        <crosses val="autoZero"/>
        <auto val="1"/>
        <lblAlgn val="ctr"/>
        <lblOffset val="100"/>
        <noMultiLvlLbl val="0"/>
      </catAx>
      <valAx>
        <axId val="5401222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USD Proceeds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\$#,##0;&quot;($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037158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22</row>
      <rowOff>79200</rowOff>
    </from>
    <to>
      <col>9</col>
      <colOff>673560</colOff>
      <row>41</row>
      <rowOff>57960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26" customWidth="1" style="36" min="1" max="1"/>
    <col width="70" customWidth="1" style="36" min="2" max="2"/>
  </cols>
  <sheetData>
    <row r="1" ht="17.25" customHeight="1" s="37">
      <c r="A1" s="38" t="inlineStr">
        <is>
          <t>EUR Receivable Hedge Model — Technical Specification</t>
        </is>
      </c>
    </row>
    <row r="3" ht="14.25" customHeight="1" s="37">
      <c r="A3" s="39" t="inlineStr">
        <is>
          <t>Created by</t>
        </is>
      </c>
      <c r="B3" s="40" t="inlineStr">
        <is>
          <t>Yumi Nagayoshi</t>
        </is>
      </c>
    </row>
    <row r="4" ht="14.25" customHeight="1" s="37">
      <c r="A4" s="39" t="inlineStr">
        <is>
          <t>Date Created</t>
        </is>
      </c>
      <c r="B4" s="40" t="inlineStr">
        <is>
          <t>2026-07-28</t>
        </is>
      </c>
    </row>
    <row r="5" ht="14.25" customHeight="1" s="37">
      <c r="A5" s="39" t="inlineStr">
        <is>
          <t>Version</t>
        </is>
      </c>
      <c r="B5" s="40" t="inlineStr">
        <is>
          <t>0.1 (draft)</t>
        </is>
      </c>
    </row>
    <row r="6" ht="27" customHeight="1" s="37">
      <c r="A6" s="39" t="inlineStr">
        <is>
          <t>LLM Used</t>
        </is>
      </c>
      <c r="B6" s="40" t="inlineStr">
        <is>
          <t>Claude (Anthropic) — drafted from Stage 1 memo + scenarios.md, Scenario 1</t>
        </is>
      </c>
    </row>
    <row r="7" ht="14.25" customHeight="1" s="37">
      <c r="A7" s="39" t="inlineStr">
        <is>
          <t>Role</t>
        </is>
      </c>
      <c r="B7" s="40" t="inlineStr">
        <is>
          <t>Treasury Analyst</t>
        </is>
      </c>
    </row>
    <row r="8" ht="14.25" customHeight="1" s="37">
      <c r="A8" s="39" t="inlineStr">
        <is>
          <t>Audience</t>
        </is>
      </c>
      <c r="B8" s="40" t="inlineStr">
        <is>
          <t>CFO / Director of Treasury</t>
        </is>
      </c>
    </row>
    <row r="9" ht="27" customHeight="1" s="37">
      <c r="A9" s="39" t="inlineStr">
        <is>
          <t>Companion document</t>
        </is>
      </c>
      <c r="B9" s="40" t="inlineStr">
        <is>
          <t>2026-07-21-Nagayoshi-eur-receivable-solar-importer-hedge-framing.md (Stage 1 memo)</t>
        </is>
      </c>
    </row>
    <row r="11" ht="14.25" customHeight="1" s="37">
      <c r="A11" s="39" t="inlineStr">
        <is>
          <t>Problem Statement</t>
        </is>
      </c>
    </row>
    <row r="12" ht="90" customHeight="1" s="37">
      <c r="A12" s="41" t="inlineStr">
        <is>
          <t>The company (a U.S. solar equipment importer) holds a EUR-denominated receivable settling in one year. At today's spot rate, the receivable is worth approximately $4.5M USD-equivalent; a depreciation of EUR against USD over the horizon would reduce realized USD proceeds and compress the margin on the underlying sale. This workbook quantifies and compares four approaches — no hedge, forward hedge, money-market hedge, and option hedges (protective put and zero-cost-structured collar) — to support the hedge recommendation carried forward from the Stage 1 memo.</t>
        </is>
      </c>
    </row>
    <row r="14" ht="14.25" customHeight="1" s="37">
      <c r="A14" s="39" t="inlineStr">
        <is>
          <t>Decision Context</t>
        </is>
      </c>
    </row>
    <row r="15" ht="45" customHeight="1" s="37">
      <c r="A15" s="41" t="inlineStr">
        <is>
          <t>Treasury analysis for CFO review; deal terms are quoted by the counterparty bank (forward, put, call), and the money-market leg is priced off the company's own USD/EUR funding and investment rates.</t>
        </is>
      </c>
    </row>
    <row r="17" ht="14.25" customHeight="1" s="37">
      <c r="A17" s="39" t="inlineStr">
        <is>
          <t>Data Sources &amp; Access Dates</t>
        </is>
      </c>
    </row>
    <row r="18" ht="30" customHeight="1" s="37">
      <c r="A18" s="41" t="inlineStr">
        <is>
          <t>• Spot, forward, and option premiums: counterparty bank quoted deal terms, scenarios.md Scenario 1 (market close near July 20-21, 2026).</t>
        </is>
      </c>
    </row>
    <row r="19" ht="30" customHeight="1" s="37">
      <c r="A19" s="41" t="inlineStr">
        <is>
          <t>• R_USD placeholder: U.S. Treasury 1Y CMT or equivalent USD funding rate — to be refreshed at Stage 4 execution.</t>
        </is>
      </c>
    </row>
    <row r="20" ht="30" customHeight="1" s="37">
      <c r="A20" s="41" t="inlineStr">
        <is>
          <t>• R_FC placeholder: 12-month Euribor — to be refreshed at Stage 4 execution.</t>
        </is>
      </c>
    </row>
    <row r="21" ht="30" customHeight="1" s="37">
      <c r="A21" s="41" t="inlineStr">
        <is>
          <t>• All values in Section 2 (Inputs tab) are INDICATIVE placeholders, to be replaced with live market data at Stage 4.</t>
        </is>
      </c>
    </row>
    <row r="23" ht="14.25" customHeight="1" s="37">
      <c r="A23" s="42" t="inlineStr">
        <is>
          <t>⚠ Open Items Carried Into Stage 3</t>
        </is>
      </c>
    </row>
    <row r="24" ht="30" customHeight="1" s="37">
      <c r="A24" s="41" t="inlineStr">
        <is>
          <t>1. FC_AMT ambiguity (Inputs tab) — highest-priority confirmation before build; confirm actual contracted EUR notional against the underlying sales agreement. Still open — current value (€3,947,368) is derived by translating the stated "$4,500,000 receivable" at spot; this has not been checked against the actual sales agreement.</t>
        </is>
      </c>
    </row>
    <row r="25" ht="30" customHeight="1" s="37">
      <c r="A25" s="41" t="inlineStr">
        <is>
          <t>2. Forward-vs-parity gap (MoneyMarket tab) — verify the counterparty's quoted forward rather than assuming a model error.</t>
        </is>
      </c>
    </row>
    <row r="26" ht="30" customHeight="1" s="37">
      <c r="A26" s="41" t="inlineStr">
        <is>
          <t>3. Rate basis simplified to single ACT/360 for both legs; revisit if the EUR-side convention differs materially at execution.</t>
        </is>
      </c>
    </row>
  </sheetData>
  <mergeCells count="10">
    <mergeCell ref="A26:B26"/>
    <mergeCell ref="A20:B20"/>
    <mergeCell ref="A21:B21"/>
    <mergeCell ref="A24:B24"/>
    <mergeCell ref="A15:B15"/>
    <mergeCell ref="A25:B25"/>
    <mergeCell ref="A19:B19"/>
    <mergeCell ref="A1:B1"/>
    <mergeCell ref="A18:B18"/>
    <mergeCell ref="A12:B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22" customWidth="1" style="36" min="1" max="1"/>
    <col width="60" customWidth="1" style="36" min="2" max="2"/>
  </cols>
  <sheetData>
    <row r="1" ht="17.25" customHeight="1" s="37">
      <c r="A1" s="38" t="inlineStr">
        <is>
          <t>Legend / Key</t>
        </is>
      </c>
    </row>
    <row r="3" ht="14.25" customHeight="1" s="37">
      <c r="A3" s="43" t="inlineStr">
        <is>
          <t>Convention</t>
        </is>
      </c>
      <c r="B3" s="43" t="inlineStr">
        <is>
          <t>Meaning</t>
        </is>
      </c>
    </row>
    <row r="4" ht="30" customHeight="1" s="37">
      <c r="A4" s="44" t="inlineStr">
        <is>
          <t>Yellow fill</t>
        </is>
      </c>
      <c r="B4" s="45" t="inlineStr">
        <is>
          <t>Input — hardcoded placeholder value, replaced with live market data at Stage 4</t>
        </is>
      </c>
    </row>
    <row r="5" ht="30" customHeight="1" s="37">
      <c r="A5" s="46" t="inlineStr">
        <is>
          <t>Blue text</t>
        </is>
      </c>
      <c r="B5" s="45" t="inlineStr">
        <is>
          <t>Assumption / scenario lever (e.g. grid step size)</t>
        </is>
      </c>
    </row>
    <row r="6" ht="30" customHeight="1" s="37">
      <c r="A6" s="47" t="inlineStr">
        <is>
          <t>Black text</t>
        </is>
      </c>
      <c r="B6" s="45" t="inlineStr">
        <is>
          <t>Formula — computed from named ranges, never hardcoded</t>
        </is>
      </c>
    </row>
    <row r="7" ht="30" customHeight="1" s="37">
      <c r="A7" s="48" t="inlineStr">
        <is>
          <t>Green text</t>
        </is>
      </c>
      <c r="B7" s="45" t="inlineStr">
        <is>
          <t>Cross-tab link — pulls a value computed on another tab</t>
        </is>
      </c>
    </row>
    <row r="9" ht="14.25" customHeight="1" s="37">
      <c r="A9" s="36" t="inlineStr">
        <is>
          <t>Note: fill color is used for input cells throughout the workbook (yellow). Blue/black/green are applied as font color on formula and link cells; the swatches above use fill only to make each convention visually distinct in this key.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4.25" zeroHeight="0" outlineLevelRow="0"/>
  <cols>
    <col width="14" customWidth="1" style="36" min="1" max="1"/>
    <col width="34" customWidth="1" style="36" min="2" max="2"/>
    <col width="16" customWidth="1" style="36" min="3" max="4"/>
    <col width="44" customWidth="1" style="36" min="5" max="5"/>
  </cols>
  <sheetData>
    <row r="1" ht="17.25" customHeight="1" s="37">
      <c r="A1" s="38" t="inlineStr">
        <is>
          <t>Inputs — Named-Range Contract</t>
        </is>
      </c>
    </row>
    <row r="2" ht="30" customHeight="1" s="37">
      <c r="A2" s="49" t="inlineStr">
        <is>
          <t>Live market data populated at Stage 4 (retrieved 2026-08-07); see data/2026-08-07-nagayoshi-market-data.md for full provenance. Forward (F0_in) is CIP-implied, not a counterparty quote — no live quote was accessible free of charge.</t>
        </is>
      </c>
    </row>
    <row r="4" ht="27" customHeight="1" s="37">
      <c r="A4" s="43" t="inlineStr">
        <is>
          <t>Named Range</t>
        </is>
      </c>
      <c r="B4" s="43" t="inlineStr">
        <is>
          <t>Description</t>
        </is>
      </c>
      <c r="C4" s="43" t="inlineStr">
        <is>
          <t>Unit</t>
        </is>
      </c>
      <c r="D4" s="43" t="inlineStr">
        <is>
          <t>Value</t>
        </is>
      </c>
      <c r="E4" s="43" t="inlineStr">
        <is>
          <t>Stage-4 Data Source</t>
        </is>
      </c>
    </row>
    <row r="5" ht="28.5" customHeight="1" s="37">
      <c r="A5" s="50" t="inlineStr">
        <is>
          <t>FC_AMT</t>
        </is>
      </c>
      <c r="B5" s="45" t="inlineStr">
        <is>
          <t>EUR receivable notional</t>
        </is>
      </c>
      <c r="C5" s="51" t="inlineStr">
        <is>
          <t>EUR</t>
        </is>
      </c>
      <c r="D5" s="52" t="n">
        <v>3947368</v>
      </c>
      <c r="E5" s="45" t="inlineStr">
        <is>
          <t>Resolved: no sales agreement available; $4,500,000 treated as USD-equivalent, translated at S0_in=1.1400 (Stage 2 reading). See market-data memo §2.</t>
        </is>
      </c>
    </row>
    <row r="6" ht="28.5" customHeight="1" s="37">
      <c r="A6" s="50" t="inlineStr">
        <is>
          <t>S0_in</t>
        </is>
      </c>
      <c r="B6" s="45" t="inlineStr">
        <is>
          <t>Spot rate at inception</t>
        </is>
      </c>
      <c r="C6" s="51" t="inlineStr">
        <is>
          <t>USD per EUR</t>
        </is>
      </c>
      <c r="D6" s="53" t="n">
        <v>1.1542</v>
      </c>
      <c r="E6" s="45" t="inlineStr">
        <is>
          <t>ECB euro FX reference rate (USD), fix published 06 Aug 2026 14:15 CET — retrieved 07 Aug 2026</t>
        </is>
      </c>
    </row>
    <row r="7" ht="14.25" customHeight="1" s="37">
      <c r="A7" s="50" t="inlineStr">
        <is>
          <t>F0_in</t>
        </is>
      </c>
      <c r="B7" s="45" t="inlineStr">
        <is>
          <t>Forward rate, 1-year</t>
        </is>
      </c>
      <c r="C7" s="51" t="inlineStr">
        <is>
          <t>USD per EUR</t>
        </is>
      </c>
      <c r="D7" s="53" t="n">
        <v>1.1665</v>
      </c>
      <c r="E7" s="45" t="inlineStr">
        <is>
          <t>CIP-implied (no live counterparty/terminal forward quote accessible free): F0=S0_in×DF_USD/DF_FC. See market-data memo §3 — parity check no longer independent of this input.</t>
        </is>
      </c>
    </row>
    <row r="8" ht="28.5" customHeight="1" s="37">
      <c r="A8" s="50" t="inlineStr">
        <is>
          <t>R_USD</t>
        </is>
      </c>
      <c r="B8" s="45" t="inlineStr">
        <is>
          <t>USD interest rate</t>
        </is>
      </c>
      <c r="C8" s="51" t="inlineStr">
        <is>
          <t>Annual %, ACT/360</t>
        </is>
      </c>
      <c r="D8" s="54" t="n">
        <v>0.0401</v>
      </c>
      <c r="E8" s="45" t="inlineStr">
        <is>
          <t>U.S. Treasury Daily Par Yield Curve, 1Yr CMT — 08/07/2026</t>
        </is>
      </c>
    </row>
    <row r="9" ht="14.25" customHeight="1" s="37">
      <c r="A9" s="50" t="inlineStr">
        <is>
          <t>R_FC</t>
        </is>
      </c>
      <c r="B9" s="45" t="inlineStr">
        <is>
          <t>EUR interest rate</t>
        </is>
      </c>
      <c r="C9" s="51" t="inlineStr">
        <is>
          <t>Annual %, ACT/360</t>
        </is>
      </c>
      <c r="D9" s="54" t="n">
        <v>0.0293</v>
      </c>
      <c r="E9" s="45" t="inlineStr">
        <is>
          <t>12-month Euribor — published 05 Aug 2026 (most recent available)</t>
        </is>
      </c>
    </row>
    <row r="10" ht="14.25" customHeight="1" s="37">
      <c r="A10" s="50" t="inlineStr">
        <is>
          <t>K_PUT</t>
        </is>
      </c>
      <c r="B10" s="45" t="inlineStr">
        <is>
          <t>Put option strike</t>
        </is>
      </c>
      <c r="C10" s="51" t="inlineStr">
        <is>
          <t>USD per EUR</t>
        </is>
      </c>
      <c r="D10" s="53" t="n">
        <v>1.1542</v>
      </c>
      <c r="E10" s="45" t="inlineStr">
        <is>
          <t>Set at live S0_in — retrieved 07 Aug 2026</t>
        </is>
      </c>
    </row>
    <row r="11" ht="14.25" customHeight="1" s="37">
      <c r="A11" s="50" t="inlineStr">
        <is>
          <t>K_CALL</t>
        </is>
      </c>
      <c r="B11" s="45" t="inlineStr">
        <is>
          <t>Call option strike</t>
        </is>
      </c>
      <c r="C11" s="51" t="inlineStr">
        <is>
          <t>USD per EUR</t>
        </is>
      </c>
      <c r="D11" s="53" t="n">
        <v>1.1542</v>
      </c>
      <c r="E11" s="45" t="inlineStr">
        <is>
          <t>Set at live S0_in — retrieved 07 Aug 2026</t>
        </is>
      </c>
    </row>
    <row r="12" ht="14.25" customHeight="1" s="37">
      <c r="A12" s="50" t="inlineStr">
        <is>
          <t>PREM_PUT</t>
        </is>
      </c>
      <c r="B12" s="45" t="inlineStr">
        <is>
          <t>Put premium per unit of FC</t>
        </is>
      </c>
      <c r="C12" s="51" t="inlineStr">
        <is>
          <t>USD</t>
        </is>
      </c>
      <c r="D12" s="55" t="n">
        <v>0.015</v>
      </c>
      <c r="E12" s="45" t="inlineStr">
        <is>
          <t>Counterparty option quote at execution</t>
        </is>
      </c>
    </row>
    <row r="13" ht="14.25" customHeight="1" s="37">
      <c r="A13" s="50" t="inlineStr">
        <is>
          <t>PREM_CALL</t>
        </is>
      </c>
      <c r="B13" s="45" t="inlineStr">
        <is>
          <t>Call premium per unit of FC</t>
        </is>
      </c>
      <c r="C13" s="51" t="inlineStr">
        <is>
          <t>USD</t>
        </is>
      </c>
      <c r="D13" s="55" t="n">
        <v>0.018</v>
      </c>
      <c r="E13" s="45" t="inlineStr">
        <is>
          <t>Counterparty option quote at execution</t>
        </is>
      </c>
    </row>
    <row r="14" ht="57" customHeight="1" s="37">
      <c r="A14" s="50" t="inlineStr">
        <is>
          <t>T_DAYS</t>
        </is>
      </c>
      <c r="B14" s="45" t="inlineStr">
        <is>
          <t>Days to settlement (feeds DF_USD/DF_FC via ACT/360)</t>
        </is>
      </c>
      <c r="C14" s="51" t="inlineStr">
        <is>
          <t>Days</t>
        </is>
      </c>
      <c r="D14" s="56" t="n">
        <v>365</v>
      </c>
      <c r="E14" s="45" t="inlineStr">
        <is>
          <t>Actual days from trade date to settlement date</t>
        </is>
      </c>
    </row>
    <row r="16" ht="14.25" customHeight="1" s="37">
      <c r="A16" s="39" t="inlineStr">
        <is>
          <t>Derived Accumulation Factors</t>
        </is>
      </c>
    </row>
    <row r="17" ht="27" customHeight="1" s="37">
      <c r="A17" s="43" t="inlineStr">
        <is>
          <t>Named Range</t>
        </is>
      </c>
      <c r="B17" s="43" t="inlineStr">
        <is>
          <t>Description</t>
        </is>
      </c>
      <c r="C17" s="43" t="inlineStr">
        <is>
          <t>Unit</t>
        </is>
      </c>
      <c r="D17" s="43" t="inlineStr">
        <is>
          <t>Value</t>
        </is>
      </c>
      <c r="E17" s="43" t="inlineStr">
        <is>
          <t>Formula</t>
        </is>
      </c>
    </row>
    <row r="18" ht="14.25" customHeight="1" s="37">
      <c r="A18" s="50" t="inlineStr">
        <is>
          <t>DF_USD</t>
        </is>
      </c>
      <c r="B18" s="51" t="inlineStr">
        <is>
          <t>USD accumulation factor</t>
        </is>
      </c>
      <c r="C18" s="51" t="inlineStr">
        <is>
          <t>factor</t>
        </is>
      </c>
      <c r="D18" s="57">
        <f>1+R_USD*T_DAYS/360</f>
        <v/>
      </c>
      <c r="E18" s="58" t="inlineStr">
        <is>
          <t>1+R_USD × T_DAYS/360 (ACT/360, per spec §4/§5 Step 0)</t>
        </is>
      </c>
    </row>
    <row r="19" ht="14.25" customHeight="1" s="37">
      <c r="A19" s="50" t="inlineStr">
        <is>
          <t>DF_FC</t>
        </is>
      </c>
      <c r="B19" s="51" t="inlineStr">
        <is>
          <t>EUR accumulation factor</t>
        </is>
      </c>
      <c r="C19" s="51" t="inlineStr">
        <is>
          <t>factor</t>
        </is>
      </c>
      <c r="D19" s="57">
        <f>1+R_FC*T_DAYS/360</f>
        <v/>
      </c>
      <c r="E19" s="58" t="inlineStr">
        <is>
          <t>1+R_FC × T_DAYS/360 (ACT/360, per spec §4/§5 Step 0)</t>
        </is>
      </c>
    </row>
    <row r="21" ht="14.25" customHeight="1" s="37">
      <c r="A21" s="39" t="inlineStr">
        <is>
          <t>Modeling Assumption</t>
        </is>
      </c>
    </row>
    <row r="22" ht="27" customHeight="1" s="37">
      <c r="A22" s="43" t="inlineStr">
        <is>
          <t>Named Range</t>
        </is>
      </c>
      <c r="B22" s="43" t="inlineStr">
        <is>
          <t>Description</t>
        </is>
      </c>
      <c r="C22" s="43" t="inlineStr">
        <is>
          <t>Unit</t>
        </is>
      </c>
      <c r="D22" s="43" t="inlineStr">
        <is>
          <t>Value</t>
        </is>
      </c>
      <c r="E22" s="43" t="inlineStr">
        <is>
          <t>Notes</t>
        </is>
      </c>
    </row>
    <row r="23" ht="28.5" customHeight="1" s="37">
      <c r="A23" s="50" t="inlineStr">
        <is>
          <t>STEP_PCT</t>
        </is>
      </c>
      <c r="B23" s="51" t="inlineStr">
        <is>
          <t>Sensitivity grid step size (±5% in 1% steps, 11 points)</t>
        </is>
      </c>
      <c r="C23" s="51" t="inlineStr">
        <is>
          <t>%</t>
        </is>
      </c>
      <c r="D23" s="59" t="n">
        <v>0.01</v>
      </c>
      <c r="E23" s="45" t="inlineStr">
        <is>
          <t>Single input driving the whole sensitivity grid — change here to reshape every grid tab</t>
        </is>
      </c>
    </row>
    <row r="25" ht="45" customHeight="1" s="37">
      <c r="A25" s="60" t="inlineStr">
        <is>
          <t>FC_AMT resolved: €3,947,368 assumes the $4,500,000 receivable is a USD-equivalent value, translated at S0_in=1.1400 (the spot rate in force in Stage 2, per the original spec reading). No underlying sales agreement was available at Stage 4 to check the alternative (a direct EUR face amount) — this is documented as the final resolution, not a continued open item. See market-data memo §2.</t>
        </is>
      </c>
    </row>
  </sheetData>
  <mergeCells count="3">
    <mergeCell ref="A2:E2"/>
    <mergeCell ref="A1:E1"/>
    <mergeCell ref="A25:E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22" customWidth="1" style="36" min="1" max="1"/>
    <col width="34" customWidth="1" style="36" min="2" max="2"/>
    <col width="18" customWidth="1" style="36" min="3" max="3"/>
    <col width="50" customWidth="1" style="36" min="4" max="4"/>
  </cols>
  <sheetData>
    <row r="1" ht="17.25" customHeight="1" s="37">
      <c r="A1" s="38" t="inlineStr">
        <is>
          <t>Step 1 — Forward Hedge</t>
        </is>
      </c>
    </row>
    <row r="2" ht="14.25" customHeight="1" s="37">
      <c r="A2" s="61" t="inlineStr">
        <is>
          <t>Locked at inception; constant across the sensitivity grid.</t>
        </is>
      </c>
    </row>
    <row r="4" ht="14.25" customHeight="1" s="37">
      <c r="A4" s="43" t="inlineStr">
        <is>
          <t>Named Range</t>
        </is>
      </c>
      <c r="B4" s="43" t="inlineStr">
        <is>
          <t>Description</t>
        </is>
      </c>
      <c r="C4" s="43" t="inlineStr">
        <is>
          <t>Value</t>
        </is>
      </c>
      <c r="D4" s="43" t="inlineStr">
        <is>
          <t>Formula</t>
        </is>
      </c>
    </row>
    <row r="5" ht="14.25" customHeight="1" s="37">
      <c r="A5" s="50" t="inlineStr">
        <is>
          <t>USD_FWD</t>
        </is>
      </c>
      <c r="B5" s="51" t="inlineStr">
        <is>
          <t>USD proceeds locked in via forward contract</t>
        </is>
      </c>
      <c r="C5" s="62">
        <f>FC_AMT*F0_in</f>
        <v/>
      </c>
      <c r="D5" s="58" t="inlineStr">
        <is>
          <t>FC_AMT × F0_in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22" customWidth="1" style="36" min="1" max="1"/>
    <col width="40" customWidth="1" style="36" min="2" max="2"/>
    <col width="18" customWidth="1" style="36" min="3" max="3"/>
    <col width="55" customWidth="1" style="36" min="4" max="4"/>
  </cols>
  <sheetData>
    <row r="1" ht="17.25" customHeight="1" s="37">
      <c r="A1" s="38" t="inlineStr">
        <is>
          <t>Step 2 — Money-Market Hedge</t>
        </is>
      </c>
    </row>
    <row r="2" ht="27.75" customHeight="1" s="37">
      <c r="A2" s="49" t="inlineStr">
        <is>
          <t>Three-step replication of the forward using the company's own USD/EUR funding and investment rates, plus the covered-interest-parity check.</t>
        </is>
      </c>
    </row>
    <row r="4" ht="14.25" customHeight="1" s="37">
      <c r="A4" s="43" t="inlineStr">
        <is>
          <t>Named Range</t>
        </is>
      </c>
      <c r="B4" s="43" t="inlineStr">
        <is>
          <t>Description</t>
        </is>
      </c>
      <c r="C4" s="43" t="inlineStr">
        <is>
          <t>Value</t>
        </is>
      </c>
      <c r="D4" s="43" t="inlineStr">
        <is>
          <t>Formula</t>
        </is>
      </c>
    </row>
    <row r="5" ht="14.25" customHeight="1" s="37">
      <c r="A5" s="50" t="inlineStr">
        <is>
          <t>BORROW_EUR</t>
        </is>
      </c>
      <c r="B5" s="51" t="inlineStr">
        <is>
          <t>Step 2a — Borrow EUR today, sized so the receivable exactly repays the loan at settlement</t>
        </is>
      </c>
      <c r="C5" s="63">
        <f>FC_AMT/DF_FC</f>
        <v/>
      </c>
      <c r="D5" s="58" t="inlineStr">
        <is>
          <t>FC_AMT / DF_FC</t>
        </is>
      </c>
    </row>
    <row r="6" ht="14.25" customHeight="1" s="37">
      <c r="A6" s="50" t="inlineStr">
        <is>
          <t>USD_NOW</t>
        </is>
      </c>
      <c r="B6" s="51" t="inlineStr">
        <is>
          <t>Step 2b — Convert borrowed EUR to USD at spot</t>
        </is>
      </c>
      <c r="C6" s="62">
        <f>BORROW_EUR*S0_in</f>
        <v/>
      </c>
      <c r="D6" s="58" t="inlineStr">
        <is>
          <t>BORROW_EUR × S0_in</t>
        </is>
      </c>
    </row>
    <row r="7" ht="14.25" customHeight="1" s="37">
      <c r="A7" s="50" t="inlineStr">
        <is>
          <t>USD_MM</t>
        </is>
      </c>
      <c r="B7" s="51" t="inlineStr">
        <is>
          <t>Step 2c — Invest USD proceeds at R_USD to settlement</t>
        </is>
      </c>
      <c r="C7" s="62">
        <f>USD_NOW*DF_USD</f>
        <v/>
      </c>
      <c r="D7" s="58" t="inlineStr">
        <is>
          <t>USD_now × DF_USD</t>
        </is>
      </c>
    </row>
    <row r="9" ht="14.25" customHeight="1" s="37">
      <c r="A9" s="39" t="inlineStr">
        <is>
          <t>Parity Check</t>
        </is>
      </c>
    </row>
    <row r="10" ht="14.25" customHeight="1" s="37">
      <c r="A10" s="43" t="inlineStr">
        <is>
          <t>Named Range</t>
        </is>
      </c>
      <c r="B10" s="43" t="inlineStr">
        <is>
          <t>Description</t>
        </is>
      </c>
      <c r="C10" s="43" t="inlineStr">
        <is>
          <t>Value</t>
        </is>
      </c>
      <c r="D10" s="43" t="inlineStr">
        <is>
          <t>Formula</t>
        </is>
      </c>
    </row>
    <row r="11" ht="14.25" customHeight="1" s="37">
      <c r="A11" s="50" t="inlineStr">
        <is>
          <t>F_IMPLIED</t>
        </is>
      </c>
      <c r="B11" s="51" t="inlineStr">
        <is>
          <t>Forward implied by covered interest-rate parity — should ≈ F0_in</t>
        </is>
      </c>
      <c r="C11" s="64">
        <f>S0_in*DF_USD/DF_FC</f>
        <v/>
      </c>
      <c r="D11" s="58" t="inlineStr">
        <is>
          <t>S0_in × DF_USD / DF_FC</t>
        </is>
      </c>
    </row>
    <row r="12" ht="14.25" customHeight="1" s="37">
      <c r="A12" s="50" t="inlineStr">
        <is>
          <t>PARITY_GAP</t>
        </is>
      </c>
      <c r="B12" s="51" t="inlineStr">
        <is>
          <t>F_IMPLIED − F0_in (documented gap, not treated as a formula error)</t>
        </is>
      </c>
      <c r="C12" s="64">
        <f>F_IMPLIED-F0_in</f>
        <v/>
      </c>
      <c r="D12" s="51" t="n"/>
    </row>
    <row r="14" ht="60" customHeight="1" s="37">
      <c r="A14" s="65" t="inlineStr">
        <is>
          <t>Note: at the placeholder rates in the Inputs tab, parity implies a forward near 1.153, materially above the counterparty's quoted F0_in of 1.0875. This gap is carried forward from the Stage 1 memo as an open item — verify the quoted forward before execution rather than treating this check as evidence of a formula error.</t>
        </is>
      </c>
    </row>
  </sheetData>
  <mergeCells count="3">
    <mergeCell ref="A1:D1"/>
    <mergeCell ref="A2:D2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8" customWidth="1" style="36" min="1" max="1"/>
    <col width="14" customWidth="1" style="36" min="2" max="2"/>
    <col width="18" customWidth="1" style="36" min="3" max="6"/>
  </cols>
  <sheetData>
    <row r="1" ht="17.25" customHeight="1" s="37">
      <c r="A1" s="38" t="inlineStr">
        <is>
          <t>Steps 3–4 — Protective Put &amp; Collar</t>
        </is>
      </c>
    </row>
    <row r="2" ht="14.25" customHeight="1" s="37">
      <c r="A2" s="61" t="inlineStr">
        <is>
          <t>Protective put (put purchased) and collar (put purchased + call sold) payoffs across the settlement-spot grid.</t>
        </is>
      </c>
    </row>
    <row r="4" ht="27" customHeight="1" s="37">
      <c r="A4" s="43" t="inlineStr">
        <is>
          <t>Named Range</t>
        </is>
      </c>
      <c r="B4" s="43" t="inlineStr">
        <is>
          <t>Description</t>
        </is>
      </c>
      <c r="C4" s="43" t="inlineStr">
        <is>
          <t>Value</t>
        </is>
      </c>
      <c r="D4" s="43" t="inlineStr">
        <is>
          <t>Formula</t>
        </is>
      </c>
    </row>
    <row r="5" ht="14.25" customHeight="1" s="37">
      <c r="A5" s="50" t="inlineStr">
        <is>
          <t>FV_PREM_PUT</t>
        </is>
      </c>
      <c r="B5" s="51" t="inlineStr">
        <is>
          <t>Future value of put premium paid, carried to settlement at R_USD</t>
        </is>
      </c>
      <c r="C5" s="62">
        <f>-PREM_PUT*FC_AMT*DF_USD</f>
        <v/>
      </c>
      <c r="D5" s="58" t="inlineStr">
        <is>
          <t>-PREM_PUT × FC_AMT × DF_USD</t>
        </is>
      </c>
    </row>
    <row r="6" ht="14.25" customHeight="1" s="37">
      <c r="A6" s="50" t="inlineStr">
        <is>
          <t>FV_NET_PREM_COLLAR</t>
        </is>
      </c>
      <c r="B6" s="51" t="inlineStr">
        <is>
          <t>Future value of net premium (call received − put paid), carried to settlement</t>
        </is>
      </c>
      <c r="C6" s="62">
        <f>(PREM_CALL-PREM_PUT)*FC_AMT*DF_USD</f>
        <v/>
      </c>
      <c r="D6" s="58" t="inlineStr">
        <is>
          <t>(PREM_CALL − PREM_PUT) × FC_AMT × DF_USD</t>
        </is>
      </c>
    </row>
    <row r="8" ht="14.25" customHeight="1" s="37">
      <c r="A8" s="39" t="inlineStr">
        <is>
          <t>Settlement-Spot Grid</t>
        </is>
      </c>
    </row>
    <row r="9" ht="27" customHeight="1" s="37">
      <c r="A9" s="43" t="inlineStr">
        <is>
          <t>Idx</t>
        </is>
      </c>
      <c r="B9" s="43" t="inlineStr">
        <is>
          <t>S_T</t>
        </is>
      </c>
      <c r="C9" s="43" t="inlineStr">
        <is>
          <t>USD_PUT(S_T)</t>
        </is>
      </c>
      <c r="D9" s="43" t="inlineStr">
        <is>
          <t>USD_COLLAR(S_T)</t>
        </is>
      </c>
    </row>
    <row r="10" ht="14.25" customHeight="1" s="37">
      <c r="A10" s="66" t="n">
        <v>-5</v>
      </c>
      <c r="B10" s="64">
        <f>S0_in*(1+A10*STEP_PCT)</f>
        <v/>
      </c>
      <c r="C10" s="62">
        <f>MAX(B10,K_PUT)*FC_AMT+FV_PREM_PUT</f>
        <v/>
      </c>
      <c r="D10" s="62">
        <f>MIN(MAX(B10,K_PUT),K_CALL)*FC_AMT+FV_NET_PREM_COLLAR</f>
        <v/>
      </c>
    </row>
    <row r="11" ht="14.25" customHeight="1" s="37">
      <c r="A11" s="66" t="n">
        <v>-4</v>
      </c>
      <c r="B11" s="64">
        <f>S0_in*(1+A11*STEP_PCT)</f>
        <v/>
      </c>
      <c r="C11" s="62">
        <f>MAX(B11,K_PUT)*FC_AMT+FV_PREM_PUT</f>
        <v/>
      </c>
      <c r="D11" s="62">
        <f>MIN(MAX(B11,K_PUT),K_CALL)*FC_AMT+FV_NET_PREM_COLLAR</f>
        <v/>
      </c>
    </row>
    <row r="12" ht="14.25" customHeight="1" s="37">
      <c r="A12" s="66" t="n">
        <v>-3</v>
      </c>
      <c r="B12" s="64">
        <f>S0_in*(1+A12*STEP_PCT)</f>
        <v/>
      </c>
      <c r="C12" s="62">
        <f>MAX(B12,K_PUT)*FC_AMT+FV_PREM_PUT</f>
        <v/>
      </c>
      <c r="D12" s="62">
        <f>MIN(MAX(B12,K_PUT),K_CALL)*FC_AMT+FV_NET_PREM_COLLAR</f>
        <v/>
      </c>
    </row>
    <row r="13" ht="14.25" customHeight="1" s="37">
      <c r="A13" s="66" t="n">
        <v>-2</v>
      </c>
      <c r="B13" s="64">
        <f>S0_in*(1+A13*STEP_PCT)</f>
        <v/>
      </c>
      <c r="C13" s="62">
        <f>MAX(B13,K_PUT)*FC_AMT+FV_PREM_PUT</f>
        <v/>
      </c>
      <c r="D13" s="62">
        <f>MIN(MAX(B13,K_PUT),K_CALL)*FC_AMT+FV_NET_PREM_COLLAR</f>
        <v/>
      </c>
    </row>
    <row r="14" ht="14.25" customHeight="1" s="37">
      <c r="A14" s="66" t="n">
        <v>-1</v>
      </c>
      <c r="B14" s="64">
        <f>S0_in*(1+A14*STEP_PCT)</f>
        <v/>
      </c>
      <c r="C14" s="62">
        <f>MAX(B14,K_PUT)*FC_AMT+FV_PREM_PUT</f>
        <v/>
      </c>
      <c r="D14" s="62">
        <f>MIN(MAX(B14,K_PUT),K_CALL)*FC_AMT+FV_NET_PREM_COLLAR</f>
        <v/>
      </c>
    </row>
    <row r="15" ht="14.25" customHeight="1" s="37">
      <c r="A15" s="66" t="n">
        <v>0</v>
      </c>
      <c r="B15" s="64">
        <f>S0_in*(1+A15*STEP_PCT)</f>
        <v/>
      </c>
      <c r="C15" s="62">
        <f>MAX(B15,K_PUT)*FC_AMT+FV_PREM_PUT</f>
        <v/>
      </c>
      <c r="D15" s="62">
        <f>MIN(MAX(B15,K_PUT),K_CALL)*FC_AMT+FV_NET_PREM_COLLAR</f>
        <v/>
      </c>
    </row>
    <row r="16" ht="14.25" customHeight="1" s="37">
      <c r="A16" s="66" t="n">
        <v>1</v>
      </c>
      <c r="B16" s="64">
        <f>S0_in*(1+A16*STEP_PCT)</f>
        <v/>
      </c>
      <c r="C16" s="62">
        <f>MAX(B16,K_PUT)*FC_AMT+FV_PREM_PUT</f>
        <v/>
      </c>
      <c r="D16" s="62">
        <f>MIN(MAX(B16,K_PUT),K_CALL)*FC_AMT+FV_NET_PREM_COLLAR</f>
        <v/>
      </c>
    </row>
    <row r="17" ht="14.25" customHeight="1" s="37">
      <c r="A17" s="66" t="n">
        <v>2</v>
      </c>
      <c r="B17" s="64">
        <f>S0_in*(1+A17*STEP_PCT)</f>
        <v/>
      </c>
      <c r="C17" s="62">
        <f>MAX(B17,K_PUT)*FC_AMT+FV_PREM_PUT</f>
        <v/>
      </c>
      <c r="D17" s="62">
        <f>MIN(MAX(B17,K_PUT),K_CALL)*FC_AMT+FV_NET_PREM_COLLAR</f>
        <v/>
      </c>
    </row>
    <row r="18" ht="14.25" customHeight="1" s="37">
      <c r="A18" s="66" t="n">
        <v>3</v>
      </c>
      <c r="B18" s="64">
        <f>S0_in*(1+A18*STEP_PCT)</f>
        <v/>
      </c>
      <c r="C18" s="62">
        <f>MAX(B18,K_PUT)*FC_AMT+FV_PREM_PUT</f>
        <v/>
      </c>
      <c r="D18" s="62">
        <f>MIN(MAX(B18,K_PUT),K_CALL)*FC_AMT+FV_NET_PREM_COLLAR</f>
        <v/>
      </c>
    </row>
    <row r="19" ht="14.25" customHeight="1" s="37">
      <c r="A19" s="66" t="n">
        <v>4</v>
      </c>
      <c r="B19" s="64">
        <f>S0_in*(1+A19*STEP_PCT)</f>
        <v/>
      </c>
      <c r="C19" s="62">
        <f>MAX(B19,K_PUT)*FC_AMT+FV_PREM_PUT</f>
        <v/>
      </c>
      <c r="D19" s="62">
        <f>MIN(MAX(B19,K_PUT),K_CALL)*FC_AMT+FV_NET_PREM_COLLAR</f>
        <v/>
      </c>
    </row>
    <row r="20" ht="14.25" customHeight="1" s="37">
      <c r="A20" s="66" t="n">
        <v>5</v>
      </c>
      <c r="B20" s="64">
        <f>S0_in*(1+A20*STEP_PCT)</f>
        <v/>
      </c>
      <c r="C20" s="62">
        <f>MAX(B20,K_PUT)*FC_AMT+FV_PREM_PUT</f>
        <v/>
      </c>
      <c r="D20" s="62">
        <f>MIN(MAX(B20,K_PUT),K_CALL)*FC_AMT+FV_NET_PREM_COLLAR</f>
        <v/>
      </c>
    </row>
    <row r="22" ht="27" customHeight="1" s="37">
      <c r="A22" s="43" t="inlineStr">
        <is>
          <t>Named Range</t>
        </is>
      </c>
      <c r="B22" s="43" t="inlineStr">
        <is>
          <t>Description</t>
        </is>
      </c>
      <c r="C22" s="43" t="inlineStr">
        <is>
          <t>Value</t>
        </is>
      </c>
      <c r="D22" s="43" t="inlineStr">
        <is>
          <t>Formula</t>
        </is>
      </c>
    </row>
    <row r="23" ht="14.25" customHeight="1" s="37">
      <c r="A23" s="50" t="inlineStr">
        <is>
          <t>USD_PUT_BASE</t>
        </is>
      </c>
      <c r="B23" s="51" t="inlineStr">
        <is>
          <t>Protective put proceeds at baseline (S_T = S0_in)</t>
        </is>
      </c>
      <c r="C23" s="62">
        <f>C15</f>
        <v/>
      </c>
      <c r="D23" s="58" t="inlineStr">
        <is>
          <t>grid row where Idx=0 (row 15)</t>
        </is>
      </c>
    </row>
    <row r="24" ht="14.25" customHeight="1" s="37">
      <c r="A24" s="50" t="inlineStr">
        <is>
          <t>USD_PUT_FLOOR</t>
        </is>
      </c>
      <c r="B24" s="51" t="inlineStr">
        <is>
          <t>Worst-case put proceeds across the grid</t>
        </is>
      </c>
      <c r="C24" s="62">
        <f>MIN(C10:C20)</f>
        <v/>
      </c>
      <c r="D24" s="58" t="inlineStr">
        <is>
          <t>MIN(USD_PUT(S_T) grid)</t>
        </is>
      </c>
    </row>
    <row r="25" ht="14.25" customHeight="1" s="37">
      <c r="A25" s="50" t="inlineStr">
        <is>
          <t>USD_COLLAR_BASE</t>
        </is>
      </c>
      <c r="B25" s="51" t="inlineStr">
        <is>
          <t>Collar proceeds at baseline (S_T = S0_in)</t>
        </is>
      </c>
      <c r="C25" s="62">
        <f>D15</f>
        <v/>
      </c>
      <c r="D25" s="58" t="inlineStr">
        <is>
          <t>grid row where Idx=0 (row 15)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baseColWidth="8" defaultColWidth="8.66796875" defaultRowHeight="14.25" zeroHeight="0" outlineLevelRow="0"/>
  <cols>
    <col width="6" customWidth="1" style="36" min="1" max="1"/>
    <col width="11" customWidth="1" style="36" min="2" max="2"/>
    <col width="14" customWidth="1" style="36" min="3" max="7"/>
    <col width="13" customWidth="1" style="36" min="8" max="11"/>
    <col width="14" customWidth="1" style="36" min="12" max="12"/>
    <col width="16" customWidth="1" style="36" min="13" max="13"/>
  </cols>
  <sheetData>
    <row r="1" ht="17.25" customHeight="1" s="37">
      <c r="A1" s="38" t="inlineStr">
        <is>
          <t>Consolidated Sensitivity — All Strategies</t>
        </is>
      </c>
    </row>
    <row r="2" ht="15" customHeight="1" s="37">
      <c r="A2" s="49" t="inlineStr">
        <is>
          <t>±5% grid around S0_in, 1% steps (Inputs!STEP_PCT). USD_FWD and USD_MM are constants; USD_PUT and USD_COLLAR link to the Options tab grid.</t>
        </is>
      </c>
    </row>
    <row r="4" ht="14.25" customHeight="1" s="37">
      <c r="A4" s="39" t="inlineStr">
        <is>
          <t>Strategy Summary (Base Case, S_T = S0_in)</t>
        </is>
      </c>
    </row>
    <row r="5" ht="54.75" customHeight="1" s="37">
      <c r="A5" s="43" t="inlineStr">
        <is>
          <t>Strategy</t>
        </is>
      </c>
      <c r="B5" s="43" t="inlineStr">
        <is>
          <t>Base-Case USD Proceeds</t>
        </is>
      </c>
      <c r="C5" s="43" t="inlineStr">
        <is>
          <t>Hedge Profit vs No Hedge</t>
        </is>
      </c>
    </row>
    <row r="6" ht="14.25" customHeight="1" s="37">
      <c r="A6" s="50" t="inlineStr">
        <is>
          <t>No Hedge</t>
        </is>
      </c>
      <c r="B6" s="62">
        <f>FC_AMT*S0_in</f>
        <v/>
      </c>
      <c r="C6" s="62" t="n">
        <v>0</v>
      </c>
    </row>
    <row r="7" ht="14.25" customHeight="1" s="37">
      <c r="A7" s="50" t="inlineStr">
        <is>
          <t>Forward</t>
        </is>
      </c>
      <c r="B7" s="67">
        <f>USD_FWD</f>
        <v/>
      </c>
      <c r="C7" s="62">
        <f>B7-B6</f>
        <v/>
      </c>
    </row>
    <row r="8" ht="14.25" customHeight="1" s="37">
      <c r="A8" s="50" t="inlineStr">
        <is>
          <t>Money Market</t>
        </is>
      </c>
      <c r="B8" s="67">
        <f>USD_MM</f>
        <v/>
      </c>
      <c r="C8" s="62">
        <f>B8-B6</f>
        <v/>
      </c>
    </row>
    <row r="9" ht="14.25" customHeight="1" s="37">
      <c r="A9" s="50" t="inlineStr">
        <is>
          <t>Protective Put</t>
        </is>
      </c>
      <c r="B9" s="67">
        <f>USD_PUT_BASE</f>
        <v/>
      </c>
      <c r="C9" s="62">
        <f>B9-B6</f>
        <v/>
      </c>
    </row>
    <row r="10" ht="14.25" customHeight="1" s="37">
      <c r="A10" s="50" t="inlineStr">
        <is>
          <t>Collar</t>
        </is>
      </c>
      <c r="B10" s="67">
        <f>USD_COLLAR_BASE</f>
        <v/>
      </c>
      <c r="C10" s="62">
        <f>B10-B6</f>
        <v/>
      </c>
    </row>
    <row r="12" ht="14.25" customHeight="1" s="37">
      <c r="A12" s="39" t="inlineStr">
        <is>
          <t>Sensitivity Grid &amp; Chart Data</t>
        </is>
      </c>
    </row>
    <row r="13" ht="27" customHeight="1" s="37">
      <c r="A13" s="43" t="inlineStr">
        <is>
          <t>Idx</t>
        </is>
      </c>
      <c r="B13" s="43" t="inlineStr">
        <is>
          <t>S_T</t>
        </is>
      </c>
      <c r="C13" s="43" t="inlineStr">
        <is>
          <t>No Hedge</t>
        </is>
      </c>
      <c r="D13" s="43" t="inlineStr">
        <is>
          <t>Forward</t>
        </is>
      </c>
      <c r="E13" s="43" t="inlineStr">
        <is>
          <t>Money Market</t>
        </is>
      </c>
      <c r="F13" s="43" t="inlineStr">
        <is>
          <t>Protective Put</t>
        </is>
      </c>
      <c r="G13" s="43" t="inlineStr">
        <is>
          <t>Collar</t>
        </is>
      </c>
      <c r="H13" s="43" t="inlineStr">
        <is>
          <t>Profit: Fwd</t>
        </is>
      </c>
      <c r="I13" s="43" t="inlineStr">
        <is>
          <t>Profit: MM</t>
        </is>
      </c>
      <c r="J13" s="43" t="inlineStr">
        <is>
          <t>Profit: Put</t>
        </is>
      </c>
      <c r="K13" s="43" t="inlineStr">
        <is>
          <t>Profit: Collar</t>
        </is>
      </c>
      <c r="L13" s="43" t="inlineStr">
        <is>
          <t>Best (All)</t>
        </is>
      </c>
      <c r="M13" s="43" t="inlineStr">
        <is>
          <t>Best (Active Hedges)</t>
        </is>
      </c>
    </row>
    <row r="14" ht="14.25" customHeight="1" s="37">
      <c r="A14" s="66" t="n">
        <v>-5</v>
      </c>
      <c r="B14" s="68">
        <f>Options!B10</f>
        <v/>
      </c>
      <c r="C14" s="62">
        <f>B14*FC_AMT</f>
        <v/>
      </c>
      <c r="D14" s="67">
        <f>USD_FWD</f>
        <v/>
      </c>
      <c r="E14" s="67">
        <f>USD_MM</f>
        <v/>
      </c>
      <c r="F14" s="67">
        <f>Options!C10</f>
        <v/>
      </c>
      <c r="G14" s="67">
        <f>Options!D10</f>
        <v/>
      </c>
      <c r="H14" s="62">
        <f>D14-C14</f>
        <v/>
      </c>
      <c r="I14" s="62">
        <f>E14-C14</f>
        <v/>
      </c>
      <c r="J14" s="62">
        <f>F14-C14</f>
        <v/>
      </c>
      <c r="K14" s="62">
        <f>G14-C14</f>
        <v/>
      </c>
      <c r="L14" s="47">
        <f>INDEX($C$13:$G$13,MATCH(MAX(C14:G14),C14:G14,0))</f>
        <v/>
      </c>
      <c r="M14" s="47">
        <f>INDEX($D$13:$G$13,MATCH(MAX(D14:G14),D14:G14,0))</f>
        <v/>
      </c>
    </row>
    <row r="15" ht="14.25" customHeight="1" s="37">
      <c r="A15" s="66" t="n">
        <v>-4</v>
      </c>
      <c r="B15" s="68">
        <f>Options!B11</f>
        <v/>
      </c>
      <c r="C15" s="62">
        <f>B15*FC_AMT</f>
        <v/>
      </c>
      <c r="D15" s="67">
        <f>USD_FWD</f>
        <v/>
      </c>
      <c r="E15" s="67">
        <f>USD_MM</f>
        <v/>
      </c>
      <c r="F15" s="67">
        <f>Options!C11</f>
        <v/>
      </c>
      <c r="G15" s="67">
        <f>Options!D11</f>
        <v/>
      </c>
      <c r="H15" s="62">
        <f>D15-C15</f>
        <v/>
      </c>
      <c r="I15" s="62">
        <f>E15-C15</f>
        <v/>
      </c>
      <c r="J15" s="62">
        <f>F15-C15</f>
        <v/>
      </c>
      <c r="K15" s="62">
        <f>G15-C15</f>
        <v/>
      </c>
      <c r="L15" s="47">
        <f>INDEX($C$13:$G$13,MATCH(MAX(C15:G15),C15:G15,0))</f>
        <v/>
      </c>
      <c r="M15" s="47">
        <f>INDEX($D$13:$G$13,MATCH(MAX(D15:G15),D15:G15,0))</f>
        <v/>
      </c>
    </row>
    <row r="16" ht="14.25" customHeight="1" s="37">
      <c r="A16" s="66" t="n">
        <v>-3</v>
      </c>
      <c r="B16" s="68">
        <f>Options!B12</f>
        <v/>
      </c>
      <c r="C16" s="62">
        <f>B16*FC_AMT</f>
        <v/>
      </c>
      <c r="D16" s="67">
        <f>USD_FWD</f>
        <v/>
      </c>
      <c r="E16" s="67">
        <f>USD_MM</f>
        <v/>
      </c>
      <c r="F16" s="67">
        <f>Options!C12</f>
        <v/>
      </c>
      <c r="G16" s="67">
        <f>Options!D12</f>
        <v/>
      </c>
      <c r="H16" s="62">
        <f>D16-C16</f>
        <v/>
      </c>
      <c r="I16" s="62">
        <f>E16-C16</f>
        <v/>
      </c>
      <c r="J16" s="62">
        <f>F16-C16</f>
        <v/>
      </c>
      <c r="K16" s="62">
        <f>G16-C16</f>
        <v/>
      </c>
      <c r="L16" s="47">
        <f>INDEX($C$13:$G$13,MATCH(MAX(C16:G16),C16:G16,0))</f>
        <v/>
      </c>
      <c r="M16" s="47">
        <f>INDEX($D$13:$G$13,MATCH(MAX(D16:G16),D16:G16,0))</f>
        <v/>
      </c>
    </row>
    <row r="17" ht="14.25" customHeight="1" s="37">
      <c r="A17" s="66" t="n">
        <v>-2</v>
      </c>
      <c r="B17" s="68">
        <f>Options!B13</f>
        <v/>
      </c>
      <c r="C17" s="62">
        <f>B17*FC_AMT</f>
        <v/>
      </c>
      <c r="D17" s="67">
        <f>USD_FWD</f>
        <v/>
      </c>
      <c r="E17" s="67">
        <f>USD_MM</f>
        <v/>
      </c>
      <c r="F17" s="67">
        <f>Options!C13</f>
        <v/>
      </c>
      <c r="G17" s="67">
        <f>Options!D13</f>
        <v/>
      </c>
      <c r="H17" s="62">
        <f>D17-C17</f>
        <v/>
      </c>
      <c r="I17" s="62">
        <f>E17-C17</f>
        <v/>
      </c>
      <c r="J17" s="62">
        <f>F17-C17</f>
        <v/>
      </c>
      <c r="K17" s="62">
        <f>G17-C17</f>
        <v/>
      </c>
      <c r="L17" s="47">
        <f>INDEX($C$13:$G$13,MATCH(MAX(C17:G17),C17:G17,0))</f>
        <v/>
      </c>
      <c r="M17" s="47">
        <f>INDEX($D$13:$G$13,MATCH(MAX(D17:G17),D17:G17,0))</f>
        <v/>
      </c>
    </row>
    <row r="18" ht="14.25" customHeight="1" s="37">
      <c r="A18" s="66" t="n">
        <v>-1</v>
      </c>
      <c r="B18" s="68">
        <f>Options!B14</f>
        <v/>
      </c>
      <c r="C18" s="62">
        <f>B18*FC_AMT</f>
        <v/>
      </c>
      <c r="D18" s="67">
        <f>USD_FWD</f>
        <v/>
      </c>
      <c r="E18" s="67">
        <f>USD_MM</f>
        <v/>
      </c>
      <c r="F18" s="67">
        <f>Options!C14</f>
        <v/>
      </c>
      <c r="G18" s="67">
        <f>Options!D14</f>
        <v/>
      </c>
      <c r="H18" s="62">
        <f>D18-C18</f>
        <v/>
      </c>
      <c r="I18" s="62">
        <f>E18-C18</f>
        <v/>
      </c>
      <c r="J18" s="62">
        <f>F18-C18</f>
        <v/>
      </c>
      <c r="K18" s="62">
        <f>G18-C18</f>
        <v/>
      </c>
      <c r="L18" s="47">
        <f>INDEX($C$13:$G$13,MATCH(MAX(C18:G18),C18:G18,0))</f>
        <v/>
      </c>
      <c r="M18" s="47">
        <f>INDEX($D$13:$G$13,MATCH(MAX(D18:G18),D18:G18,0))</f>
        <v/>
      </c>
    </row>
    <row r="19" ht="14.25" customHeight="1" s="37">
      <c r="A19" s="66" t="n">
        <v>0</v>
      </c>
      <c r="B19" s="69">
        <f>Options!B15</f>
        <v/>
      </c>
      <c r="C19" s="62">
        <f>B19*FC_AMT</f>
        <v/>
      </c>
      <c r="D19" s="67">
        <f>USD_FWD</f>
        <v/>
      </c>
      <c r="E19" s="67">
        <f>USD_MM</f>
        <v/>
      </c>
      <c r="F19" s="67">
        <f>Options!C15</f>
        <v/>
      </c>
      <c r="G19" s="67">
        <f>Options!D15</f>
        <v/>
      </c>
      <c r="H19" s="62">
        <f>D19-C19</f>
        <v/>
      </c>
      <c r="I19" s="62">
        <f>E19-C19</f>
        <v/>
      </c>
      <c r="J19" s="62">
        <f>F19-C19</f>
        <v/>
      </c>
      <c r="K19" s="62">
        <f>G19-C19</f>
        <v/>
      </c>
      <c r="L19" s="47">
        <f>INDEX($C$13:$G$13,MATCH(MAX(C19:G19),C19:G19,0))</f>
        <v/>
      </c>
      <c r="M19" s="47">
        <f>INDEX($D$13:$G$13,MATCH(MAX(D19:G19),D19:G19,0))</f>
        <v/>
      </c>
    </row>
    <row r="20" ht="14.25" customHeight="1" s="37">
      <c r="A20" s="66" t="n">
        <v>1</v>
      </c>
      <c r="B20" s="68">
        <f>Options!B16</f>
        <v/>
      </c>
      <c r="C20" s="62">
        <f>B20*FC_AMT</f>
        <v/>
      </c>
      <c r="D20" s="67">
        <f>USD_FWD</f>
        <v/>
      </c>
      <c r="E20" s="67">
        <f>USD_MM</f>
        <v/>
      </c>
      <c r="F20" s="67">
        <f>Options!C16</f>
        <v/>
      </c>
      <c r="G20" s="67">
        <f>Options!D16</f>
        <v/>
      </c>
      <c r="H20" s="62">
        <f>D20-C20</f>
        <v/>
      </c>
      <c r="I20" s="62">
        <f>E20-C20</f>
        <v/>
      </c>
      <c r="J20" s="62">
        <f>F20-C20</f>
        <v/>
      </c>
      <c r="K20" s="62">
        <f>G20-C20</f>
        <v/>
      </c>
      <c r="L20" s="47">
        <f>INDEX($C$13:$G$13,MATCH(MAX(C20:G20),C20:G20,0))</f>
        <v/>
      </c>
      <c r="M20" s="47">
        <f>INDEX($D$13:$G$13,MATCH(MAX(D20:G20),D20:G20,0))</f>
        <v/>
      </c>
    </row>
    <row r="21" ht="14.25" customHeight="1" s="37">
      <c r="A21" s="66" t="n">
        <v>2</v>
      </c>
      <c r="B21" s="68">
        <f>Options!B17</f>
        <v/>
      </c>
      <c r="C21" s="62">
        <f>B21*FC_AMT</f>
        <v/>
      </c>
      <c r="D21" s="67">
        <f>USD_FWD</f>
        <v/>
      </c>
      <c r="E21" s="67">
        <f>USD_MM</f>
        <v/>
      </c>
      <c r="F21" s="67">
        <f>Options!C17</f>
        <v/>
      </c>
      <c r="G21" s="67">
        <f>Options!D17</f>
        <v/>
      </c>
      <c r="H21" s="62">
        <f>D21-C21</f>
        <v/>
      </c>
      <c r="I21" s="62">
        <f>E21-C21</f>
        <v/>
      </c>
      <c r="J21" s="62">
        <f>F21-C21</f>
        <v/>
      </c>
      <c r="K21" s="62">
        <f>G21-C21</f>
        <v/>
      </c>
      <c r="L21" s="47">
        <f>INDEX($C$13:$G$13,MATCH(MAX(C21:G21),C21:G21,0))</f>
        <v/>
      </c>
      <c r="M21" s="47">
        <f>INDEX($D$13:$G$13,MATCH(MAX(D21:G21),D21:G21,0))</f>
        <v/>
      </c>
    </row>
    <row r="22" ht="14.25" customHeight="1" s="37">
      <c r="A22" s="66" t="n">
        <v>3</v>
      </c>
      <c r="B22" s="68">
        <f>Options!B18</f>
        <v/>
      </c>
      <c r="C22" s="62">
        <f>B22*FC_AMT</f>
        <v/>
      </c>
      <c r="D22" s="67">
        <f>USD_FWD</f>
        <v/>
      </c>
      <c r="E22" s="67">
        <f>USD_MM</f>
        <v/>
      </c>
      <c r="F22" s="67">
        <f>Options!C18</f>
        <v/>
      </c>
      <c r="G22" s="67">
        <f>Options!D18</f>
        <v/>
      </c>
      <c r="H22" s="62">
        <f>D22-C22</f>
        <v/>
      </c>
      <c r="I22" s="62">
        <f>E22-C22</f>
        <v/>
      </c>
      <c r="J22" s="62">
        <f>F22-C22</f>
        <v/>
      </c>
      <c r="K22" s="62">
        <f>G22-C22</f>
        <v/>
      </c>
      <c r="L22" s="47">
        <f>INDEX($C$13:$G$13,MATCH(MAX(C22:G22),C22:G22,0))</f>
        <v/>
      </c>
      <c r="M22" s="47">
        <f>INDEX($D$13:$G$13,MATCH(MAX(D22:G22),D22:G22,0))</f>
        <v/>
      </c>
    </row>
    <row r="23" ht="14.25" customHeight="1" s="37">
      <c r="A23" s="66" t="n">
        <v>4</v>
      </c>
      <c r="B23" s="68">
        <f>Options!B19</f>
        <v/>
      </c>
      <c r="C23" s="62">
        <f>B23*FC_AMT</f>
        <v/>
      </c>
      <c r="D23" s="67">
        <f>USD_FWD</f>
        <v/>
      </c>
      <c r="E23" s="67">
        <f>USD_MM</f>
        <v/>
      </c>
      <c r="F23" s="67">
        <f>Options!C19</f>
        <v/>
      </c>
      <c r="G23" s="67">
        <f>Options!D19</f>
        <v/>
      </c>
      <c r="H23" s="62">
        <f>D23-C23</f>
        <v/>
      </c>
      <c r="I23" s="62">
        <f>E23-C23</f>
        <v/>
      </c>
      <c r="J23" s="62">
        <f>F23-C23</f>
        <v/>
      </c>
      <c r="K23" s="62">
        <f>G23-C23</f>
        <v/>
      </c>
      <c r="L23" s="47">
        <f>INDEX($C$13:$G$13,MATCH(MAX(C23:G23),C23:G23,0))</f>
        <v/>
      </c>
      <c r="M23" s="47">
        <f>INDEX($D$13:$G$13,MATCH(MAX(D23:G23),D23:G23,0))</f>
        <v/>
      </c>
    </row>
    <row r="24" ht="14.25" customHeight="1" s="37">
      <c r="A24" s="66" t="n">
        <v>5</v>
      </c>
      <c r="B24" s="68">
        <f>Options!B20</f>
        <v/>
      </c>
      <c r="C24" s="62">
        <f>B24*FC_AMT</f>
        <v/>
      </c>
      <c r="D24" s="67">
        <f>USD_FWD</f>
        <v/>
      </c>
      <c r="E24" s="67">
        <f>USD_MM</f>
        <v/>
      </c>
      <c r="F24" s="67">
        <f>Options!C20</f>
        <v/>
      </c>
      <c r="G24" s="67">
        <f>Options!D20</f>
        <v/>
      </c>
      <c r="H24" s="62">
        <f>D24-C24</f>
        <v/>
      </c>
      <c r="I24" s="62">
        <f>E24-C24</f>
        <v/>
      </c>
      <c r="J24" s="62">
        <f>F24-C24</f>
        <v/>
      </c>
      <c r="K24" s="62">
        <f>G24-C24</f>
        <v/>
      </c>
      <c r="L24" s="47">
        <f>INDEX($C$13:$G$13,MATCH(MAX(C24:G24),C24:G24,0))</f>
        <v/>
      </c>
      <c r="M24" s="47">
        <f>INDEX($D$13:$G$13,MATCH(MAX(D24:G24),D24:G24,0))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95" customWidth="1" style="36" min="1" max="1"/>
  </cols>
  <sheetData>
    <row r="1" ht="17.25" customHeight="1" s="37">
      <c r="A1" s="38" t="inlineStr">
        <is>
          <t>Notes &amp; Assumptions</t>
        </is>
      </c>
    </row>
    <row r="3" ht="14.25" customHeight="1" s="37">
      <c r="A3" s="39" t="inlineStr">
        <is>
          <t>Quote Convention</t>
        </is>
      </c>
    </row>
    <row r="4" ht="60" customHeight="1" s="37">
      <c r="A4" s="41" t="inlineStr">
        <is>
          <t>All rates are USD per EUR; a higher quote means EUR appreciation.</t>
        </is>
      </c>
    </row>
    <row r="6" ht="14.25" customHeight="1" s="37">
      <c r="A6" s="39" t="inlineStr">
        <is>
          <t>Rate Basis</t>
        </is>
      </c>
    </row>
    <row r="7" ht="60" customHeight="1" s="37">
      <c r="A7" s="41" t="inlineStr">
        <is>
          <t>ACT/360 applied to both legs — DF_USD = 1+R_USD×T_DAYS/360 and DF_FC = 1+R_FC×T_DAYS/360, per spec §4/§5 Step 0. A more rigorous build would split BASIS_USD/BASIS_FC if EUR-side convention differs; flagged rather than built, per scope.</t>
        </is>
      </c>
    </row>
    <row r="9" ht="14.25" customHeight="1" s="37">
      <c r="A9" s="39" t="inlineStr">
        <is>
          <t>Horizon</t>
        </is>
      </c>
    </row>
    <row r="10" ht="60" customHeight="1" s="37">
      <c r="A10" s="41" t="inlineStr">
        <is>
          <t>Single-maturity model, T_DAYS = 365. No partial-year or multi-tranche hedging.</t>
        </is>
      </c>
    </row>
    <row r="12" ht="14.25" customHeight="1" s="37">
      <c r="A12" s="39" t="inlineStr">
        <is>
          <t>Parity Expectation</t>
        </is>
      </c>
    </row>
    <row r="13" ht="60" customHeight="1" s="37">
      <c r="A13" s="41" t="inlineStr">
        <is>
          <t>The money-market hedge is assumed to replicate the forward hedge under covered interest-rate parity. At the placeholder rates, parity implies a forward near 1.153, materially above the counterparty's quoted F0_in of 1.0875. This gap is carried forward from the Stage 1 memo as an open item — verify the quoted forward before execution rather than treating the model's parity check as evidence of a formula error.</t>
        </is>
      </c>
    </row>
    <row r="15" ht="14.25" customHeight="1" s="37">
      <c r="A15" s="39" t="inlineStr">
        <is>
          <t>Premium Treatment</t>
        </is>
      </c>
    </row>
    <row r="16" ht="60" customHeight="1" s="37">
      <c r="A16" s="41" t="inlineStr">
        <is>
          <t>Option premiums are paid (put) or received (call) upfront in USD, quoted per 1 unit of FC, no contract multiplier. Premiums are carried forward to the settlement date at R_USD so they sit on the same footing as settlement-date proceeds.</t>
        </is>
      </c>
    </row>
    <row r="18" ht="14.25" customHeight="1" s="37">
      <c r="A18" s="39" t="inlineStr">
        <is>
          <t>Collar Structure</t>
        </is>
      </c>
    </row>
    <row r="19" ht="60" customHeight="1" s="37">
      <c r="A19" s="41" t="inlineStr">
        <is>
          <t>Both K_PUT and K_CALL are set at spot (S0_in), consistent with the scenario's 'strike at/near spot' instruction. This produces a near-zero-width collar: proceeds are effectively capped and floored at the same level, offset by the net premium (call premium received minus put premium paid).</t>
        </is>
      </c>
    </row>
    <row r="21" ht="14.25" customHeight="1" s="37">
      <c r="A21" s="39" t="inlineStr">
        <is>
          <t>Excluded from Base Case</t>
        </is>
      </c>
    </row>
    <row r="22" ht="60" customHeight="1" s="37">
      <c r="A22" s="41" t="inlineStr">
        <is>
          <t>Transaction costs, bid-ask spreads, counterparty/credit risk, and tax treatment are excluded from this base-case model.</t>
        </is>
      </c>
    </row>
    <row r="24" ht="14.25" customHeight="1" s="37">
      <c r="A24" s="39" t="inlineStr">
        <is>
          <t>Scenario Construction</t>
        </is>
      </c>
    </row>
    <row r="25" ht="60" customHeight="1" s="37">
      <c r="A25" s="41" t="inlineStr">
        <is>
          <t>S_T is varied deterministically on a grid; no probability weighting or implied-volatility distribution is applied.</t>
        </is>
      </c>
    </row>
    <row r="27" ht="14.25" customHeight="1" s="37">
      <c r="A27" s="39" t="inlineStr">
        <is>
          <t>Data Sources &amp; Timestamps</t>
        </is>
      </c>
    </row>
    <row r="28" ht="60" customHeight="1" s="37">
      <c r="A28" s="41" t="inlineStr">
        <is>
          <t>Rates and spot reflect market close near July 20-21, 2026, as cited in the Stage 1 memo; forward and option premiums are the counterparty's quoted deal terms from scenarios.md, Scenario 1. All Inputs-tab values are placeholders pending Stage 4 live data (see the Stage-4 Data Source column on the Inputs tab).</t>
        </is>
      </c>
    </row>
    <row r="30" ht="14.25" customHeight="1" s="37">
      <c r="A30" s="42" t="inlineStr">
        <is>
          <t>Open Items Carried Into Stage 3</t>
        </is>
      </c>
    </row>
    <row r="31" ht="75" customHeight="1" s="37">
      <c r="A31" s="41" t="inlineStr">
        <is>
          <t>1. FC_AMT ambiguity — highest-priority confirmation before build. Still open; carry to Stage 4 as first line item — every USD figure in the workbook scales with it.
2. Forward-vs-parity gap — verify the counterparty's quoted forward rather than assuming a model error.
3. Rate basis simplified to single ACT/360 for both legs; revisit if EUR-side convention differs materially at execution.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2026-08-04T03:48:16Z</dcterms:created>
  <dcterms:modified xmlns:dcterms="http://purl.org/dc/terms/" xmlns:xsi="http://www.w3.org/2001/XMLSchema-instance" xsi:type="dcterms:W3CDTF">2026-08-08T02:17:47Z</dcterms:modified>
  <cp:revision>5</cp:revision>
</cp:coreProperties>
</file>