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e3885b342a83d268/Desktop/"/>
    </mc:Choice>
  </mc:AlternateContent>
  <xr:revisionPtr revIDLastSave="0" documentId="8_{A6C170FD-5F2C-40A6-AA0A-8A995EDBEA25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Cover" sheetId="1" r:id="rId1"/>
    <sheet name="Legend-Key" sheetId="2" r:id="rId2"/>
    <sheet name="Inputs" sheetId="3" r:id="rId3"/>
    <sheet name="Forward" sheetId="4" r:id="rId4"/>
    <sheet name="MoneyMarket" sheetId="5" r:id="rId5"/>
    <sheet name="Options" sheetId="6" r:id="rId6"/>
    <sheet name="Sensitivity" sheetId="7" r:id="rId7"/>
    <sheet name="Notes-Assumptions" sheetId="8" r:id="rId8"/>
  </sheets>
  <definedNames>
    <definedName name="BORROW_EUR">MoneyMarket!$C$5</definedName>
    <definedName name="DF_FC">Inputs!$D$19</definedName>
    <definedName name="DF_USD">Inputs!$D$18</definedName>
    <definedName name="F_IMPLIED">MoneyMarket!$C$11</definedName>
    <definedName name="F0_in">Inputs!$D$7</definedName>
    <definedName name="FC_AMT">Inputs!$D$5</definedName>
    <definedName name="FV_NET_PREM_COLLAR">Options!$C$6</definedName>
    <definedName name="FV_PREM_PUT">Options!$C$5</definedName>
    <definedName name="K_CALL">Inputs!$D$11</definedName>
    <definedName name="K_PUT">Inputs!$D$10</definedName>
    <definedName name="PARITY_GAP">MoneyMarket!$C$12</definedName>
    <definedName name="PREM_CALL">Inputs!$D$13</definedName>
    <definedName name="PREM_PUT">Inputs!$D$12</definedName>
    <definedName name="R_FC">Inputs!$D$9</definedName>
    <definedName name="R_USD">Inputs!$D$8</definedName>
    <definedName name="S0_in">Inputs!$D$6</definedName>
    <definedName name="STEP_PCT">Inputs!$D$23</definedName>
    <definedName name="T_DAYS">Inputs!$D$14</definedName>
    <definedName name="USD_COLLAR_BASE">Options!$C$25</definedName>
    <definedName name="USD_FWD">Forward!$C$5</definedName>
    <definedName name="USD_MM">MoneyMarket!$C$7</definedName>
    <definedName name="USD_NOW">MoneyMarket!$C$6</definedName>
    <definedName name="USD_PUT_BASE">Options!$C$23</definedName>
    <definedName name="USD_PUT_FLOOR">Options!$C$24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4" i="7" l="1"/>
  <c r="C24" i="7" s="1"/>
  <c r="B23" i="7"/>
  <c r="C23" i="7" s="1"/>
  <c r="B22" i="7"/>
  <c r="C22" i="7" s="1"/>
  <c r="B20" i="7"/>
  <c r="C20" i="7" s="1"/>
  <c r="B19" i="7"/>
  <c r="C19" i="7" s="1"/>
  <c r="B18" i="7"/>
  <c r="C18" i="7" s="1"/>
  <c r="B16" i="7"/>
  <c r="C16" i="7" s="1"/>
  <c r="B15" i="7"/>
  <c r="C15" i="7" s="1"/>
  <c r="B14" i="7"/>
  <c r="C14" i="7" s="1"/>
  <c r="B7" i="7"/>
  <c r="C7" i="7" s="1"/>
  <c r="B6" i="7"/>
  <c r="B20" i="6"/>
  <c r="B19" i="6"/>
  <c r="B18" i="6"/>
  <c r="B17" i="6"/>
  <c r="B21" i="7" s="1"/>
  <c r="C21" i="7" s="1"/>
  <c r="B16" i="6"/>
  <c r="B15" i="6"/>
  <c r="B14" i="6"/>
  <c r="B13" i="6"/>
  <c r="B17" i="7" s="1"/>
  <c r="C17" i="7" s="1"/>
  <c r="B12" i="6"/>
  <c r="B11" i="6"/>
  <c r="B10" i="6"/>
  <c r="C11" i="5"/>
  <c r="C12" i="5" s="1"/>
  <c r="C6" i="5"/>
  <c r="C7" i="5" s="1"/>
  <c r="C5" i="5"/>
  <c r="C5" i="4"/>
  <c r="D24" i="7" s="1"/>
  <c r="D19" i="3"/>
  <c r="D18" i="3"/>
  <c r="C5" i="6" s="1"/>
  <c r="B8" i="7" l="1"/>
  <c r="C8" i="7" s="1"/>
  <c r="E24" i="7"/>
  <c r="I24" i="7" s="1"/>
  <c r="E23" i="7"/>
  <c r="I23" i="7" s="1"/>
  <c r="E22" i="7"/>
  <c r="I22" i="7" s="1"/>
  <c r="E21" i="7"/>
  <c r="I21" i="7" s="1"/>
  <c r="E20" i="7"/>
  <c r="I20" i="7" s="1"/>
  <c r="E19" i="7"/>
  <c r="I19" i="7" s="1"/>
  <c r="E18" i="7"/>
  <c r="I18" i="7" s="1"/>
  <c r="E17" i="7"/>
  <c r="I17" i="7" s="1"/>
  <c r="E16" i="7"/>
  <c r="I16" i="7" s="1"/>
  <c r="E15" i="7"/>
  <c r="I15" i="7" s="1"/>
  <c r="E14" i="7"/>
  <c r="I14" i="7" s="1"/>
  <c r="H24" i="7"/>
  <c r="C20" i="6"/>
  <c r="F24" i="7" s="1"/>
  <c r="J24" i="7" s="1"/>
  <c r="C16" i="6"/>
  <c r="F20" i="7" s="1"/>
  <c r="J20" i="7" s="1"/>
  <c r="C12" i="6"/>
  <c r="F16" i="7" s="1"/>
  <c r="J16" i="7" s="1"/>
  <c r="C18" i="6"/>
  <c r="F22" i="7" s="1"/>
  <c r="J22" i="7" s="1"/>
  <c r="C14" i="6"/>
  <c r="F18" i="7" s="1"/>
  <c r="J18" i="7" s="1"/>
  <c r="C10" i="6"/>
  <c r="C19" i="6"/>
  <c r="F23" i="7" s="1"/>
  <c r="J23" i="7" s="1"/>
  <c r="C15" i="6"/>
  <c r="C11" i="6"/>
  <c r="F15" i="7" s="1"/>
  <c r="J15" i="7" s="1"/>
  <c r="C17" i="6"/>
  <c r="F21" i="7" s="1"/>
  <c r="J21" i="7" s="1"/>
  <c r="C13" i="6"/>
  <c r="F17" i="7" s="1"/>
  <c r="J17" i="7" s="1"/>
  <c r="C6" i="6"/>
  <c r="D14" i="7"/>
  <c r="D15" i="7"/>
  <c r="D16" i="7"/>
  <c r="D17" i="7"/>
  <c r="D18" i="7"/>
  <c r="D19" i="7"/>
  <c r="D20" i="7"/>
  <c r="D21" i="7"/>
  <c r="D22" i="7"/>
  <c r="D23" i="7"/>
  <c r="H23" i="7" l="1"/>
  <c r="H21" i="7"/>
  <c r="M21" i="7"/>
  <c r="H18" i="7"/>
  <c r="M18" i="7"/>
  <c r="F14" i="7"/>
  <c r="J14" i="7" s="1"/>
  <c r="C24" i="6"/>
  <c r="H16" i="7"/>
  <c r="H22" i="7"/>
  <c r="M22" i="7"/>
  <c r="H20" i="7"/>
  <c r="M20" i="7"/>
  <c r="H19" i="7"/>
  <c r="H17" i="7"/>
  <c r="M17" i="7"/>
  <c r="H15" i="7"/>
  <c r="F19" i="7"/>
  <c r="J19" i="7" s="1"/>
  <c r="C23" i="6"/>
  <c r="B9" i="7" s="1"/>
  <c r="C9" i="7" s="1"/>
  <c r="H14" i="7"/>
  <c r="D19" i="6"/>
  <c r="G23" i="7" s="1"/>
  <c r="K23" i="7" s="1"/>
  <c r="D15" i="6"/>
  <c r="D11" i="6"/>
  <c r="G15" i="7" s="1"/>
  <c r="K15" i="7" s="1"/>
  <c r="D18" i="6"/>
  <c r="G22" i="7" s="1"/>
  <c r="K22" i="7" s="1"/>
  <c r="D14" i="6"/>
  <c r="G18" i="7" s="1"/>
  <c r="K18" i="7" s="1"/>
  <c r="D10" i="6"/>
  <c r="G14" i="7" s="1"/>
  <c r="K14" i="7" s="1"/>
  <c r="D16" i="6"/>
  <c r="G20" i="7" s="1"/>
  <c r="D17" i="6"/>
  <c r="G21" i="7" s="1"/>
  <c r="K21" i="7" s="1"/>
  <c r="D13" i="6"/>
  <c r="G17" i="7" s="1"/>
  <c r="D20" i="6"/>
  <c r="G24" i="7" s="1"/>
  <c r="K24" i="7" s="1"/>
  <c r="D12" i="6"/>
  <c r="G16" i="7" s="1"/>
  <c r="K16" i="7" s="1"/>
  <c r="G19" i="7" l="1"/>
  <c r="C25" i="6"/>
  <c r="B10" i="7" s="1"/>
  <c r="C10" i="7" s="1"/>
  <c r="L14" i="7"/>
  <c r="L15" i="7"/>
  <c r="L16" i="7"/>
  <c r="M14" i="7"/>
  <c r="M24" i="7"/>
  <c r="K20" i="7"/>
  <c r="L20" i="7"/>
  <c r="M16" i="7"/>
  <c r="L23" i="7"/>
  <c r="L18" i="7"/>
  <c r="L24" i="7"/>
  <c r="K17" i="7"/>
  <c r="L17" i="7"/>
  <c r="M23" i="7"/>
  <c r="M15" i="7"/>
  <c r="L21" i="7"/>
  <c r="L19" i="7"/>
  <c r="L22" i="7"/>
  <c r="K19" i="7" l="1"/>
  <c r="M19" i="7"/>
</calcChain>
</file>

<file path=xl/sharedStrings.xml><?xml version="1.0" encoding="utf-8"?>
<sst xmlns="http://schemas.openxmlformats.org/spreadsheetml/2006/main" count="222" uniqueCount="178">
  <si>
    <t>EUR Receivable Hedge Model — Technical Specification</t>
  </si>
  <si>
    <t>Created by</t>
  </si>
  <si>
    <t>Yumi Nagayoshi</t>
  </si>
  <si>
    <t>Date Created</t>
  </si>
  <si>
    <t>2026-07-28</t>
  </si>
  <si>
    <t>Version</t>
  </si>
  <si>
    <t>0.1 (draft)</t>
  </si>
  <si>
    <t>LLM Used</t>
  </si>
  <si>
    <t>Claude (Anthropic) — drafted from Stage 1 memo + scenarios.md, Scenario 1</t>
  </si>
  <si>
    <t>Role</t>
  </si>
  <si>
    <t>Treasury Analyst</t>
  </si>
  <si>
    <t>Audience</t>
  </si>
  <si>
    <t>CFO / Director of Treasury</t>
  </si>
  <si>
    <t>Companion document</t>
  </si>
  <si>
    <t>2026-07-21-Nagayoshi-eur-receivable-solar-importer-hedge-framing.md (Stage 1 memo)</t>
  </si>
  <si>
    <t>Problem Statement</t>
  </si>
  <si>
    <t>The company (a U.S. solar equipment importer) holds a EUR-denominated receivable settling in one year. At today's spot rate, the receivable is worth approximately $4.5M USD-equivalent; a depreciation of EUR against USD over the horizon would reduce realized USD proceeds and compress the margin on the underlying sale. This workbook quantifies and compares four approaches — no hedge, forward hedge, money-market hedge, and option hedges (protective put and zero-cost-structured collar) — to support the hedge recommendation carried forward from the Stage 1 memo.</t>
  </si>
  <si>
    <t>Decision Context</t>
  </si>
  <si>
    <t>Treasury analysis for CFO review; deal terms are quoted by the counterparty bank (forward, put, call), and the money-market leg is priced off the company's own USD/EUR funding and investment rates.</t>
  </si>
  <si>
    <t>Data Sources &amp; Access Dates</t>
  </si>
  <si>
    <t>• Spot, forward, and option premiums: counterparty bank quoted deal terms, scenarios.md Scenario 1 (market close near July 20-21, 2026).</t>
  </si>
  <si>
    <t>• R_USD placeholder: U.S. Treasury 1Y CMT or equivalent USD funding rate — to be refreshed at Stage 4 execution.</t>
  </si>
  <si>
    <t>• R_FC placeholder: 12-month Euribor — to be refreshed at Stage 4 execution.</t>
  </si>
  <si>
    <t>• All values in Section 2 (Inputs tab) are INDICATIVE placeholders, to be replaced with live market data at Stage 4.</t>
  </si>
  <si>
    <t>⚠ Open Items Carried Into Stage 3</t>
  </si>
  <si>
    <t>1. FC_AMT ambiguity (Inputs tab) — highest-priority confirmation before build; confirm actual contracted EUR notional against the underlying sales agreement.</t>
  </si>
  <si>
    <t>2. Forward-vs-parity gap (MoneyMarket tab) — verify the counterparty's quoted forward rather than assuming a model error.</t>
  </si>
  <si>
    <t>3. Rate basis simplified to single ACT/360 for both legs; revisit if the EUR-side convention differs materially at execution.</t>
  </si>
  <si>
    <t>Legend / Key</t>
  </si>
  <si>
    <t>Convention</t>
  </si>
  <si>
    <t>Meaning</t>
  </si>
  <si>
    <t>Yellow fill</t>
  </si>
  <si>
    <t>Input — hardcoded placeholder value, replaced with live market data at Stage 4</t>
  </si>
  <si>
    <t>Blue text</t>
  </si>
  <si>
    <t>Assumption / scenario lever (e.g. grid step size)</t>
  </si>
  <si>
    <t>Black text</t>
  </si>
  <si>
    <t>Formula — computed from named ranges, never hardcoded</t>
  </si>
  <si>
    <t>Green text</t>
  </si>
  <si>
    <t>Cross-tab link — pulls a value computed on another tab</t>
  </si>
  <si>
    <t>Inputs — Named-Range Contract</t>
  </si>
  <si>
    <t>All values below are indicative — replaced with live market data at Stage 4. Rates and spot reflect market close near July 20-21, 2026; forward and option premiums are the counterparty's quoted deal terms.</t>
  </si>
  <si>
    <t>Named Range</t>
  </si>
  <si>
    <t>Description</t>
  </si>
  <si>
    <t>Unit</t>
  </si>
  <si>
    <t>Value</t>
  </si>
  <si>
    <t>Stage-4 Data Source</t>
  </si>
  <si>
    <t>FC_AMT</t>
  </si>
  <si>
    <t>EUR receivable notional</t>
  </si>
  <si>
    <t>EUR</t>
  </si>
  <si>
    <t>Confirm actual contracted EUR notional with the underlying sales agreement (see Cover tab flag)</t>
  </si>
  <si>
    <t>S0_in</t>
  </si>
  <si>
    <t>Spot rate at inception</t>
  </si>
  <si>
    <t>USD per EUR</t>
  </si>
  <si>
    <t>Live EURUSD spot, e.g. Bloomberg/Reuters, at execution</t>
  </si>
  <si>
    <t>F0_in</t>
  </si>
  <si>
    <t>Forward rate, 1-year</t>
  </si>
  <si>
    <t>Counterparty bank forward quote at execution</t>
  </si>
  <si>
    <t>R_USD</t>
  </si>
  <si>
    <t>USD interest rate</t>
  </si>
  <si>
    <t>Annual %, ACT/360</t>
  </si>
  <si>
    <t>U.S. Treasury 1Y CMT (or equivalent USD funding rate) at execution</t>
  </si>
  <si>
    <t>R_FC</t>
  </si>
  <si>
    <t>EUR interest rate</t>
  </si>
  <si>
    <t>12-month Euribor at execution</t>
  </si>
  <si>
    <t>K_PUT</t>
  </si>
  <si>
    <t>Put option strike</t>
  </si>
  <si>
    <t>Set at/near live spot at execution</t>
  </si>
  <si>
    <t>K_CALL</t>
  </si>
  <si>
    <t>Call option strike</t>
  </si>
  <si>
    <t>PREM_PUT</t>
  </si>
  <si>
    <t>Put premium per unit of FC</t>
  </si>
  <si>
    <t>USD</t>
  </si>
  <si>
    <t>Counterparty option quote at execution</t>
  </si>
  <si>
    <t>PREM_CALL</t>
  </si>
  <si>
    <t>Call premium per unit of FC</t>
  </si>
  <si>
    <t>T_DAYS</t>
  </si>
  <si>
    <t>Days to settlement</t>
  </si>
  <si>
    <t>Days</t>
  </si>
  <si>
    <t>Actual days from trade date to settlement date</t>
  </si>
  <si>
    <t>Derived Accumulation Factors</t>
  </si>
  <si>
    <t>Formula</t>
  </si>
  <si>
    <t>DF_USD</t>
  </si>
  <si>
    <t>USD accumulation factor</t>
  </si>
  <si>
    <t>factor</t>
  </si>
  <si>
    <t>1+R_USD×T_DAYS/360</t>
  </si>
  <si>
    <t>DF_FC</t>
  </si>
  <si>
    <t>EUR accumulation factor</t>
  </si>
  <si>
    <t>1+R_FC×T_DAYS/360</t>
  </si>
  <si>
    <t>Modeling Assumption</t>
  </si>
  <si>
    <t>Notes</t>
  </si>
  <si>
    <t>STEP_PCT</t>
  </si>
  <si>
    <t>Sensitivity grid step size (±5% in 1% steps, 11 points)</t>
  </si>
  <si>
    <t>%</t>
  </si>
  <si>
    <t>Single input driving the whole sensitivity grid — change here to reshape every grid tab</t>
  </si>
  <si>
    <t>⚠ FC_AMT is derived by translating the scenario's stated "$4,500,000 receivable" into a EUR notional at S0_in (4,500,000 / 1.1400 ≈ €3,947,368), on the reading that the scenario states a USD-equivalent value rather than a EUR face amount. This is the single largest open assumption in the model — confirm before Stage 3.</t>
  </si>
  <si>
    <t>Step 1 — Forward Hedge</t>
  </si>
  <si>
    <t>Locked at inception; constant across the sensitivity grid.</t>
  </si>
  <si>
    <t>USD_FWD</t>
  </si>
  <si>
    <t>USD proceeds locked in via forward contract</t>
  </si>
  <si>
    <t>FC_AMT × F0_in</t>
  </si>
  <si>
    <t>Step 2 — Money-Market Hedge</t>
  </si>
  <si>
    <t>Three-step replication of the forward using the company's own USD/EUR funding and investment rates, plus the covered-interest-parity check.</t>
  </si>
  <si>
    <t>BORROW_EUR</t>
  </si>
  <si>
    <t>Step 2a — Borrow EUR today, sized so the receivable exactly repays the loan at settlement</t>
  </si>
  <si>
    <t>FC_AMT / DF_FC</t>
  </si>
  <si>
    <t>USD_NOW</t>
  </si>
  <si>
    <t>Step 2b — Convert borrowed EUR to USD at spot</t>
  </si>
  <si>
    <t>BORROW_EUR × S0_in</t>
  </si>
  <si>
    <t>USD_MM</t>
  </si>
  <si>
    <t>Step 2c — Invest USD proceeds at R_USD to settlement</t>
  </si>
  <si>
    <t>USD_now × DF_USD</t>
  </si>
  <si>
    <t>Parity Check</t>
  </si>
  <si>
    <t>F_IMPLIED</t>
  </si>
  <si>
    <t>Forward implied by covered interest-rate parity — should ≈ F0_in</t>
  </si>
  <si>
    <t>S0_in × DF_USD / DF_FC</t>
  </si>
  <si>
    <t>PARITY_GAP</t>
  </si>
  <si>
    <t>F_IMPLIED − F0_in (documented gap, not treated as a formula error)</t>
  </si>
  <si>
    <t>Note: at the placeholder rates in the Inputs tab, parity implies a forward near 1.153, materially above the counterparty's quoted F0_in of 1.0875. This gap is carried forward from the Stage 1 memo as an open item — verify the quoted forward before execution rather than treating this check as evidence of a formula error.</t>
  </si>
  <si>
    <t>Steps 3–4 — Protective Put &amp; Collar</t>
  </si>
  <si>
    <t>Protective put (put purchased) and collar (put purchased + call sold) payoffs across the settlement-spot grid.</t>
  </si>
  <si>
    <t>FV_PREM_PUT</t>
  </si>
  <si>
    <t>Future value of put premium paid, carried to settlement at R_USD</t>
  </si>
  <si>
    <t>-PREM_PUT × FC_AMT × DF_USD</t>
  </si>
  <si>
    <t>FV_NET_PREM_COLLAR</t>
  </si>
  <si>
    <t>Future value of net premium (call received − put paid), carried to settlement</t>
  </si>
  <si>
    <t>(PREM_CALL − PREM_PUT) × FC_AMT × DF_USD</t>
  </si>
  <si>
    <t>Settlement-Spot Grid</t>
  </si>
  <si>
    <t>Idx</t>
  </si>
  <si>
    <t>S_T</t>
  </si>
  <si>
    <t>USD_PUT(S_T)</t>
  </si>
  <si>
    <t>USD_COLLAR(S_T)</t>
  </si>
  <si>
    <t>USD_PUT_BASE</t>
  </si>
  <si>
    <t>Protective put proceeds at baseline (S_T = S0_in)</t>
  </si>
  <si>
    <t>grid row where Idx=0 (row 15)</t>
  </si>
  <si>
    <t>USD_PUT_FLOOR</t>
  </si>
  <si>
    <t>Worst-case put proceeds across the grid</t>
  </si>
  <si>
    <t>MIN(USD_PUT(S_T) grid)</t>
  </si>
  <si>
    <t>USD_COLLAR_BASE</t>
  </si>
  <si>
    <t>Collar proceeds at baseline (S_T = S0_in)</t>
  </si>
  <si>
    <t>Consolidated Sensitivity — All Strategies</t>
  </si>
  <si>
    <t>±5% grid around S0_in, 1% steps (Inputs!STEP_PCT). USD_FWD and USD_MM are constants; USD_PUT and USD_COLLAR link to the Options tab grid.</t>
  </si>
  <si>
    <t>Strategy Summary (Base Case, S_T = S0_in)</t>
  </si>
  <si>
    <t>Strategy</t>
  </si>
  <si>
    <t>Base-Case USD Proceeds</t>
  </si>
  <si>
    <t>Hedge Profit vs No Hedge</t>
  </si>
  <si>
    <t>No Hedge</t>
  </si>
  <si>
    <t>Forward</t>
  </si>
  <si>
    <t>Money Market</t>
  </si>
  <si>
    <t>Protective Put</t>
  </si>
  <si>
    <t>Collar</t>
  </si>
  <si>
    <t>Sensitivity Grid &amp; Chart Data</t>
  </si>
  <si>
    <t>Profit: Fwd</t>
  </si>
  <si>
    <t>Profit: MM</t>
  </si>
  <si>
    <t>Profit: Put</t>
  </si>
  <si>
    <t>Profit: Collar</t>
  </si>
  <si>
    <t>Best (All)</t>
  </si>
  <si>
    <t>Best (Active Hedges)</t>
  </si>
  <si>
    <t>Notes &amp; Assumptions</t>
  </si>
  <si>
    <t>Quote Convention</t>
  </si>
  <si>
    <t>All rates are USD per EUR; a higher quote means EUR appreciation.</t>
  </si>
  <si>
    <t>Rate Basis</t>
  </si>
  <si>
    <t>ACT/360 applied to both R_USD and R_FC (single-basis simplification — a more rigorous build would split BASIS_USD/BASIS_FC if EUR-side conventions differ; flagged here rather than built, per scope).</t>
  </si>
  <si>
    <t>Horizon</t>
  </si>
  <si>
    <t>Single-maturity model, T_DAYS = 365. No partial-year or multi-tranche hedging.</t>
  </si>
  <si>
    <t>Parity Expectation</t>
  </si>
  <si>
    <t>The money-market hedge is assumed to replicate the forward hedge under covered interest-rate parity. At the placeholder rates, parity implies a forward near 1.153, materially above the counterparty's quoted F0_in of 1.0875. This gap is carried forward from the Stage 1 memo as an open item — verify the quoted forward before execution rather than treating the model's parity check as evidence of a formula error.</t>
  </si>
  <si>
    <t>Premium Treatment</t>
  </si>
  <si>
    <t>Option premiums are paid (put) or received (call) upfront in USD, quoted per 1 unit of FC, no contract multiplier. Premiums are carried forward to the settlement date at R_USD so they sit on the same footing as settlement-date proceeds.</t>
  </si>
  <si>
    <t>Collar Structure</t>
  </si>
  <si>
    <t>Both K_PUT and K_CALL are set at spot (S0_in), consistent with the scenario's 'strike at/near spot' instruction. This produces a near-zero-width collar: proceeds are effectively capped and floored at the same level, offset by the net premium (call premium received minus put premium paid).</t>
  </si>
  <si>
    <t>Excluded from Base Case</t>
  </si>
  <si>
    <t>Transaction costs, bid-ask spreads, counterparty/credit risk, and tax treatment are excluded from this base-case model.</t>
  </si>
  <si>
    <t>Scenario Construction</t>
  </si>
  <si>
    <t>S_T is varied deterministically on a grid; no probability weighting or implied-volatility distribution is applied.</t>
  </si>
  <si>
    <t>Data Sources &amp; Timestamps</t>
  </si>
  <si>
    <t>Rates and spot reflect market close near July 20-21, 2026, as cited in the Stage 1 memo; forward and option premiums are the counterparty's quoted deal terms from scenarios.md, Scenario 1. All Inputs-tab values are placeholders pending Stage 4 live data (see the Stage-4 Data Source column on the Inputs tab).</t>
  </si>
  <si>
    <t>Open Items Carried Into Stage 3</t>
  </si>
  <si>
    <t>1. FC_AMT ambiguity — highest-priority confirmation before build.
2. Forward-vs-parity gap — verify the counterparty's quoted forward rather than assuming a model error.
3. Rate basis simplified to single ACT/360 for both legs; revisit if EUR-side convention differs materially at execution.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</si>
</sst>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&quot;($&quot;#,##0\);\-"/>
    <numFmt numFmtId="165" formatCode="0.0000"/>
    <numFmt numFmtId="166" formatCode="\$0.000"/>
    <numFmt numFmtId="167" formatCode="0.000000"/>
  </numFmts>
  <fonts count="12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C00000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sz val="11"/>
      <color rgb="FF008000"/>
      <name val="Arial"/>
      <charset val="1"/>
    </font>
    <font>
      <i/>
      <sz val="11"/>
      <color rgb="FF666666"/>
      <name val="Arial"/>
      <charset val="1"/>
    </font>
    <font>
      <i/>
      <sz val="11"/>
      <color rgb="FFC00000"/>
      <name val="Arial"/>
      <charset val="1"/>
    </font>
    <font>
      <b/>
      <sz val="11"/>
      <color rgb="FF008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9" fillId="0" borderId="0" xfId="0" applyFont="1"/>
    <xf numFmtId="0" fontId="10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0" borderId="1" xfId="0" applyBorder="1" applyAlignment="1">
      <alignment wrapText="1"/>
    </xf>
    <xf numFmtId="0" fontId="6" fillId="0" borderId="1" xfId="0" applyFont="1" applyBorder="1"/>
    <xf numFmtId="0" fontId="7" fillId="0" borderId="1" xfId="0" applyFont="1" applyBorder="1"/>
    <xf numFmtId="0" fontId="8" fillId="0" borderId="1" xfId="0" applyFont="1" applyBorder="1"/>
    <xf numFmtId="0" fontId="2" fillId="0" borderId="1" xfId="0" applyFont="1" applyBorder="1"/>
    <xf numFmtId="0" fontId="0" fillId="0" borderId="1" xfId="0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10" fontId="0" fillId="3" borderId="1" xfId="0" applyNumberFormat="1" applyFill="1" applyBorder="1"/>
    <xf numFmtId="166" fontId="0" fillId="3" borderId="1" xfId="0" applyNumberFormat="1" applyFill="1" applyBorder="1"/>
    <xf numFmtId="1" fontId="0" fillId="3" borderId="1" xfId="0" applyNumberFormat="1" applyFill="1" applyBorder="1"/>
    <xf numFmtId="167" fontId="7" fillId="0" borderId="1" xfId="0" applyNumberFormat="1" applyFont="1" applyBorder="1"/>
    <xf numFmtId="0" fontId="9" fillId="0" borderId="1" xfId="0" applyFont="1" applyBorder="1"/>
    <xf numFmtId="10" fontId="6" fillId="0" borderId="1" xfId="0" applyNumberFormat="1" applyFont="1" applyBorder="1"/>
    <xf numFmtId="164" fontId="7" fillId="0" borderId="1" xfId="0" applyNumberFormat="1" applyFont="1" applyBorder="1"/>
    <xf numFmtId="3" fontId="7" fillId="0" borderId="1" xfId="0" applyNumberFormat="1" applyFont="1" applyBorder="1"/>
    <xf numFmtId="165" fontId="7" fillId="0" borderId="1" xfId="0" applyNumberFormat="1" applyFont="1" applyBorder="1"/>
    <xf numFmtId="0" fontId="0" fillId="0" borderId="1" xfId="0" applyBorder="1" applyAlignment="1">
      <alignment horizontal="center"/>
    </xf>
    <xf numFmtId="164" fontId="8" fillId="0" borderId="1" xfId="0" applyNumberFormat="1" applyFont="1" applyBorder="1"/>
    <xf numFmtId="165" fontId="8" fillId="0" borderId="1" xfId="0" applyNumberFormat="1" applyFont="1" applyBorder="1"/>
    <xf numFmtId="165" fontId="1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USD Proceeds vs. Settlement Spot (S_T)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Sensitivity!$C$13</c:f>
              <c:strCache>
                <c:ptCount val="1"/>
                <c:pt idx="0">
                  <c:v>No Hedge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Sensitivity!$C$14:$C$24</c:f>
              <c:numCache>
                <c:formatCode>\$#,##0;"($"#,##0\);\-</c:formatCode>
                <c:ptCount val="11"/>
                <c:pt idx="0">
                  <c:v>4274999.5439999998</c:v>
                </c:pt>
                <c:pt idx="1">
                  <c:v>4319999.5391999995</c:v>
                </c:pt>
                <c:pt idx="2">
                  <c:v>4364999.5343999993</c:v>
                </c:pt>
                <c:pt idx="3">
                  <c:v>4409999.5296</c:v>
                </c:pt>
                <c:pt idx="4">
                  <c:v>4454999.5247999988</c:v>
                </c:pt>
                <c:pt idx="5">
                  <c:v>4499999.5199999996</c:v>
                </c:pt>
                <c:pt idx="6">
                  <c:v>4544999.5152000003</c:v>
                </c:pt>
                <c:pt idx="7">
                  <c:v>4589999.5103999991</c:v>
                </c:pt>
                <c:pt idx="8">
                  <c:v>4634999.5055999998</c:v>
                </c:pt>
                <c:pt idx="9">
                  <c:v>4679999.5007999996</c:v>
                </c:pt>
                <c:pt idx="10">
                  <c:v>4724999.4959999993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E-47F0-8550-04850969F2E3}"/>
            </c:ext>
          </c:extLst>
        </c:ser>
        <c:ser>
          <c:idx val="1"/>
          <c:order val="1"/>
          <c:tx>
            <c:strRef>
              <c:f>Sensitivity!$D$13</c:f>
              <c:strCache>
                <c:ptCount val="1"/>
                <c:pt idx="0">
                  <c:v>Forward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Sensitivity!$D$14:$D$24</c:f>
              <c:numCache>
                <c:formatCode>\$#,##0;"($"#,##0\);\-</c:formatCode>
                <c:ptCount val="11"/>
                <c:pt idx="0">
                  <c:v>4292762.6999999993</c:v>
                </c:pt>
                <c:pt idx="1">
                  <c:v>4292762.6999999993</c:v>
                </c:pt>
                <c:pt idx="2">
                  <c:v>4292762.6999999993</c:v>
                </c:pt>
                <c:pt idx="3">
                  <c:v>4292762.6999999993</c:v>
                </c:pt>
                <c:pt idx="4">
                  <c:v>4292762.6999999993</c:v>
                </c:pt>
                <c:pt idx="5">
                  <c:v>4292762.6999999993</c:v>
                </c:pt>
                <c:pt idx="6">
                  <c:v>4292762.6999999993</c:v>
                </c:pt>
                <c:pt idx="7">
                  <c:v>4292762.6999999993</c:v>
                </c:pt>
                <c:pt idx="8">
                  <c:v>4292762.6999999993</c:v>
                </c:pt>
                <c:pt idx="9">
                  <c:v>4292762.6999999993</c:v>
                </c:pt>
                <c:pt idx="10">
                  <c:v>4292762.6999999993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8E-47F0-8550-04850969F2E3}"/>
            </c:ext>
          </c:extLst>
        </c:ser>
        <c:ser>
          <c:idx val="2"/>
          <c:order val="2"/>
          <c:tx>
            <c:strRef>
              <c:f>Sensitivity!$E$13</c:f>
              <c:strCache>
                <c:ptCount val="1"/>
                <c:pt idx="0">
                  <c:v>Money Market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Sensitivity!$E$14:$E$24</c:f>
              <c:numCache>
                <c:formatCode>\$#,##0;"($"#,##0\);\-</c:formatCode>
                <c:ptCount val="11"/>
                <c:pt idx="0">
                  <c:v>4550979.6447603321</c:v>
                </c:pt>
                <c:pt idx="1">
                  <c:v>4550979.6447603321</c:v>
                </c:pt>
                <c:pt idx="2">
                  <c:v>4550979.6447603321</c:v>
                </c:pt>
                <c:pt idx="3">
                  <c:v>4550979.6447603321</c:v>
                </c:pt>
                <c:pt idx="4">
                  <c:v>4550979.6447603321</c:v>
                </c:pt>
                <c:pt idx="5">
                  <c:v>4550979.6447603321</c:v>
                </c:pt>
                <c:pt idx="6">
                  <c:v>4550979.6447603321</c:v>
                </c:pt>
                <c:pt idx="7">
                  <c:v>4550979.6447603321</c:v>
                </c:pt>
                <c:pt idx="8">
                  <c:v>4550979.6447603321</c:v>
                </c:pt>
                <c:pt idx="9">
                  <c:v>4550979.6447603321</c:v>
                </c:pt>
                <c:pt idx="10">
                  <c:v>4550979.6447603321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8E-47F0-8550-04850969F2E3}"/>
            </c:ext>
          </c:extLst>
        </c:ser>
        <c:ser>
          <c:idx val="3"/>
          <c:order val="3"/>
          <c:tx>
            <c:strRef>
              <c:f>Sensitivity!$F$13</c:f>
              <c:strCache>
                <c:ptCount val="1"/>
                <c:pt idx="0">
                  <c:v>Protective Put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Sensitivity!$F$14:$F$24</c:f>
              <c:numCache>
                <c:formatCode>\$#,##0;"($"#,##0\);\-</c:formatCode>
                <c:ptCount val="11"/>
                <c:pt idx="0">
                  <c:v>4438369.6746001663</c:v>
                </c:pt>
                <c:pt idx="1">
                  <c:v>4438369.6746001663</c:v>
                </c:pt>
                <c:pt idx="2">
                  <c:v>4438369.6746001663</c:v>
                </c:pt>
                <c:pt idx="3">
                  <c:v>4438369.6746001663</c:v>
                </c:pt>
                <c:pt idx="4">
                  <c:v>4438369.6746001663</c:v>
                </c:pt>
                <c:pt idx="5">
                  <c:v>4438369.6746001663</c:v>
                </c:pt>
                <c:pt idx="6">
                  <c:v>4483369.669800167</c:v>
                </c:pt>
                <c:pt idx="7">
                  <c:v>4528369.6650001658</c:v>
                </c:pt>
                <c:pt idx="8">
                  <c:v>4573369.6602001665</c:v>
                </c:pt>
                <c:pt idx="9">
                  <c:v>4618369.6554001663</c:v>
                </c:pt>
                <c:pt idx="10">
                  <c:v>4663369.6506001661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8E-47F0-8550-04850969F2E3}"/>
            </c:ext>
          </c:extLst>
        </c:ser>
        <c:ser>
          <c:idx val="4"/>
          <c:order val="4"/>
          <c:tx>
            <c:strRef>
              <c:f>Sensitivity!$G$13</c:f>
              <c:strCache>
                <c:ptCount val="1"/>
                <c:pt idx="0">
                  <c:v>Collar</c:v>
                </c:pt>
              </c:strCache>
            </c:strRef>
          </c:tx>
          <c:spPr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Sensitivity!$G$14:$G$24</c:f>
              <c:numCache>
                <c:formatCode>\$#,##0;"($"#,##0\);\-</c:formatCode>
                <c:ptCount val="11"/>
                <c:pt idx="0">
                  <c:v>4512325.4890799662</c:v>
                </c:pt>
                <c:pt idx="1">
                  <c:v>4512325.4890799662</c:v>
                </c:pt>
                <c:pt idx="2">
                  <c:v>4512325.4890799662</c:v>
                </c:pt>
                <c:pt idx="3">
                  <c:v>4512325.4890799662</c:v>
                </c:pt>
                <c:pt idx="4">
                  <c:v>4512325.4890799662</c:v>
                </c:pt>
                <c:pt idx="5">
                  <c:v>4512325.4890799662</c:v>
                </c:pt>
                <c:pt idx="6">
                  <c:v>4512325.4890799662</c:v>
                </c:pt>
                <c:pt idx="7">
                  <c:v>4512325.4890799662</c:v>
                </c:pt>
                <c:pt idx="8">
                  <c:v>4512325.4890799662</c:v>
                </c:pt>
                <c:pt idx="9">
                  <c:v>4512325.4890799662</c:v>
                </c:pt>
                <c:pt idx="10">
                  <c:v>4512325.4890799662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8E-47F0-8550-04850969F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8586281"/>
        <c:axId val="21149923"/>
      </c:lineChart>
      <c:catAx>
        <c:axId val="385862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S_T (USD per EUR)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149923"/>
        <c:crosses val="autoZero"/>
        <c:auto val="1"/>
        <c:lblAlgn val="ctr"/>
        <c:lblOffset val="100"/>
        <c:noMultiLvlLbl val="0"/>
      </c:catAx>
      <c:valAx>
        <c:axId val="211499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 Proceeds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5862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25</xdr:row>
      <xdr:rowOff>69675</xdr:rowOff>
    </xdr:from>
    <xdr:to>
      <xdr:col>12</xdr:col>
      <xdr:colOff>455925</xdr:colOff>
      <xdr:row>44</xdr:row>
      <xdr:rowOff>49875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26"/>
  <sheetViews>
    <sheetView showGridLines="0" zoomScaleNormal="100" workbookViewId="0">
      <selection activeCell="P12" sqref="P12"/>
    </sheetView>
  </sheetViews>
  <sheetFormatPr defaultColWidth="8.6640625" defaultRowHeight="14.4" x14ac:dyDescent="0.3"/>
  <cols>
    <col min="1" max="1" width="26" customWidth="1"/>
    <col min="2" max="2" width="70" customWidth="1"/>
  </cols>
  <sheetData>
    <row r="1" spans="1:2" ht="17.399999999999999" x14ac:dyDescent="0.3">
      <c r="A1" s="5" t="s">
        <v>0</v>
      </c>
      <c r="B1" s="5"/>
    </row>
    <row r="3" spans="1:2" x14ac:dyDescent="0.3">
      <c r="A3" s="7" t="s">
        <v>1</v>
      </c>
      <c r="B3" s="8" t="s">
        <v>2</v>
      </c>
    </row>
    <row r="4" spans="1:2" x14ac:dyDescent="0.3">
      <c r="A4" s="7" t="s">
        <v>3</v>
      </c>
      <c r="B4" s="8" t="s">
        <v>4</v>
      </c>
    </row>
    <row r="5" spans="1:2" x14ac:dyDescent="0.3">
      <c r="A5" s="7" t="s">
        <v>5</v>
      </c>
      <c r="B5" s="8" t="s">
        <v>6</v>
      </c>
    </row>
    <row r="6" spans="1:2" ht="27.6" x14ac:dyDescent="0.3">
      <c r="A6" s="7" t="s">
        <v>7</v>
      </c>
      <c r="B6" s="8" t="s">
        <v>8</v>
      </c>
    </row>
    <row r="7" spans="1:2" x14ac:dyDescent="0.3">
      <c r="A7" s="7" t="s">
        <v>9</v>
      </c>
      <c r="B7" s="8" t="s">
        <v>10</v>
      </c>
    </row>
    <row r="8" spans="1:2" x14ac:dyDescent="0.3">
      <c r="A8" s="7" t="s">
        <v>11</v>
      </c>
      <c r="B8" s="8" t="s">
        <v>12</v>
      </c>
    </row>
    <row r="9" spans="1:2" ht="27.6" x14ac:dyDescent="0.3">
      <c r="A9" s="7" t="s">
        <v>13</v>
      </c>
      <c r="B9" s="8" t="s">
        <v>14</v>
      </c>
    </row>
    <row r="11" spans="1:2" x14ac:dyDescent="0.3">
      <c r="A11" s="7" t="s">
        <v>15</v>
      </c>
    </row>
    <row r="12" spans="1:2" ht="90" customHeight="1" x14ac:dyDescent="0.3">
      <c r="A12" s="4" t="s">
        <v>16</v>
      </c>
      <c r="B12" s="4"/>
    </row>
    <row r="14" spans="1:2" x14ac:dyDescent="0.3">
      <c r="A14" s="7" t="s">
        <v>17</v>
      </c>
    </row>
    <row r="15" spans="1:2" ht="45" customHeight="1" x14ac:dyDescent="0.3">
      <c r="A15" s="4" t="s">
        <v>18</v>
      </c>
      <c r="B15" s="4"/>
    </row>
    <row r="17" spans="1:2" x14ac:dyDescent="0.3">
      <c r="A17" s="7" t="s">
        <v>19</v>
      </c>
    </row>
    <row r="18" spans="1:2" ht="30" customHeight="1" x14ac:dyDescent="0.3">
      <c r="A18" s="4" t="s">
        <v>20</v>
      </c>
      <c r="B18" s="4"/>
    </row>
    <row r="19" spans="1:2" ht="30" customHeight="1" x14ac:dyDescent="0.3">
      <c r="A19" s="4" t="s">
        <v>21</v>
      </c>
      <c r="B19" s="4"/>
    </row>
    <row r="20" spans="1:2" ht="30" customHeight="1" x14ac:dyDescent="0.3">
      <c r="A20" s="4" t="s">
        <v>22</v>
      </c>
      <c r="B20" s="4"/>
    </row>
    <row r="21" spans="1:2" ht="30" customHeight="1" x14ac:dyDescent="0.3">
      <c r="A21" s="4" t="s">
        <v>23</v>
      </c>
      <c r="B21" s="4"/>
    </row>
    <row r="23" spans="1:2" x14ac:dyDescent="0.3">
      <c r="A23" s="10" t="s">
        <v>24</v>
      </c>
    </row>
    <row r="24" spans="1:2" ht="30" customHeight="1" x14ac:dyDescent="0.3">
      <c r="A24" s="4" t="s">
        <v>25</v>
      </c>
      <c r="B24" s="4"/>
    </row>
    <row r="25" spans="1:2" ht="30" customHeight="1" x14ac:dyDescent="0.3">
      <c r="A25" s="4" t="s">
        <v>26</v>
      </c>
      <c r="B25" s="4"/>
    </row>
    <row r="26" spans="1:2" ht="30" customHeight="1" x14ac:dyDescent="0.3">
      <c r="A26" s="4" t="s">
        <v>27</v>
      </c>
      <c r="B26" s="4"/>
    </row>
  </sheetData>
  <mergeCells count="10">
    <mergeCell ref="A20:B20"/>
    <mergeCell ref="A21:B21"/>
    <mergeCell ref="A24:B24"/>
    <mergeCell ref="A25:B25"/>
    <mergeCell ref="A26:B26"/>
    <mergeCell ref="A1:B1"/>
    <mergeCell ref="A12:B12"/>
    <mergeCell ref="A15:B15"/>
    <mergeCell ref="A18:B18"/>
    <mergeCell ref="A19:B19"/>
  </mergeCells>
  <pageMargins left="0.75" right="0.75" top="1" bottom="1" header="0.511811023622047" footer="0.511811023622047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7"/>
  <sheetViews>
    <sheetView showGridLines="0" tabSelected="1" zoomScaleNormal="100" workbookViewId="0">
      <selection activeCell="P12" sqref="P12"/>
    </sheetView>
  </sheetViews>
  <sheetFormatPr defaultColWidth="8.6640625" defaultRowHeight="14.4" x14ac:dyDescent="0.3"/>
  <cols>
    <col min="1" max="1" width="22" customWidth="1"/>
    <col min="2" max="2" width="60" customWidth="1"/>
  </cols>
  <sheetData>
    <row r="1" spans="1:2" ht="17.399999999999999" x14ac:dyDescent="0.3">
      <c r="A1" s="5" t="s">
        <v>28</v>
      </c>
      <c r="B1" s="5"/>
    </row>
    <row r="3" spans="1:2" x14ac:dyDescent="0.3">
      <c r="A3" s="11" t="s">
        <v>29</v>
      </c>
      <c r="B3" s="11" t="s">
        <v>30</v>
      </c>
    </row>
    <row r="4" spans="1:2" ht="30" customHeight="1" x14ac:dyDescent="0.3">
      <c r="A4" s="12" t="s">
        <v>31</v>
      </c>
      <c r="B4" s="13" t="s">
        <v>32</v>
      </c>
    </row>
    <row r="5" spans="1:2" ht="30" customHeight="1" x14ac:dyDescent="0.3">
      <c r="A5" s="14" t="s">
        <v>33</v>
      </c>
      <c r="B5" s="13" t="s">
        <v>34</v>
      </c>
    </row>
    <row r="6" spans="1:2" ht="30" customHeight="1" x14ac:dyDescent="0.3">
      <c r="A6" s="15" t="s">
        <v>35</v>
      </c>
      <c r="B6" s="13" t="s">
        <v>36</v>
      </c>
    </row>
    <row r="7" spans="1:2" ht="30" customHeight="1" x14ac:dyDescent="0.3">
      <c r="A7" s="16" t="s">
        <v>37</v>
      </c>
      <c r="B7" s="13" t="s">
        <v>38</v>
      </c>
    </row>
  </sheetData>
  <mergeCells count="1">
    <mergeCell ref="A1:B1"/>
  </mergeCells>
  <pageMargins left="0.75" right="0.75" top="1" bottom="1" header="0.511811023622047" footer="0.511811023622047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5"/>
  <sheetViews>
    <sheetView showGridLines="0" tabSelected="1" zoomScaleNormal="100" workbookViewId="0">
      <pane ySplit="4" topLeftCell="A8" activePane="bottomLeft" state="frozen"/>
      <selection activeCell="P12" sqref="P12"/>
      <selection pane="bottomLeft" activeCell="P12" sqref="P12"/>
    </sheetView>
  </sheetViews>
  <sheetFormatPr defaultColWidth="8.6640625" defaultRowHeight="14.4" x14ac:dyDescent="0.3"/>
  <cols>
    <col min="1" max="1" width="31.109375" bestFit="1" customWidth="1"/>
    <col min="2" max="2" width="46.88671875" bestFit="1" customWidth="1"/>
    <col min="3" max="3" width="17.33203125" bestFit="1" customWidth="1"/>
    <col min="4" max="4" width="9.88671875" bestFit="1" customWidth="1"/>
    <col min="5" max="5" width="43.77734375" bestFit="1" customWidth="1"/>
  </cols>
  <sheetData>
    <row r="1" spans="1:5" ht="17.399999999999999" x14ac:dyDescent="0.3">
      <c r="A1" s="5" t="s">
        <v>39</v>
      </c>
      <c r="B1" s="5"/>
      <c r="C1" s="5"/>
      <c r="D1" s="5"/>
      <c r="E1" s="5"/>
    </row>
    <row r="2" spans="1:5" ht="30" customHeight="1" x14ac:dyDescent="0.3">
      <c r="A2" s="3" t="s">
        <v>40</v>
      </c>
      <c r="B2" s="3"/>
      <c r="C2" s="3"/>
      <c r="D2" s="3"/>
      <c r="E2" s="3"/>
    </row>
    <row r="4" spans="1:5" ht="27.6" x14ac:dyDescent="0.3">
      <c r="A4" s="11" t="s">
        <v>41</v>
      </c>
      <c r="B4" s="11" t="s">
        <v>42</v>
      </c>
      <c r="C4" s="11" t="s">
        <v>43</v>
      </c>
      <c r="D4" s="11" t="s">
        <v>44</v>
      </c>
      <c r="E4" s="11" t="s">
        <v>45</v>
      </c>
    </row>
    <row r="5" spans="1:5" ht="28.8" x14ac:dyDescent="0.3">
      <c r="A5" s="17" t="s">
        <v>46</v>
      </c>
      <c r="B5" s="13" t="s">
        <v>47</v>
      </c>
      <c r="C5" s="18" t="s">
        <v>48</v>
      </c>
      <c r="D5" s="19">
        <v>3947368</v>
      </c>
      <c r="E5" s="13" t="s">
        <v>49</v>
      </c>
    </row>
    <row r="6" spans="1:5" ht="28.8" x14ac:dyDescent="0.3">
      <c r="A6" s="17" t="s">
        <v>50</v>
      </c>
      <c r="B6" s="13" t="s">
        <v>51</v>
      </c>
      <c r="C6" s="18" t="s">
        <v>52</v>
      </c>
      <c r="D6" s="20">
        <v>1.1399999999999999</v>
      </c>
      <c r="E6" s="13" t="s">
        <v>53</v>
      </c>
    </row>
    <row r="7" spans="1:5" x14ac:dyDescent="0.3">
      <c r="A7" s="17" t="s">
        <v>54</v>
      </c>
      <c r="B7" s="13" t="s">
        <v>55</v>
      </c>
      <c r="C7" s="18" t="s">
        <v>52</v>
      </c>
      <c r="D7" s="20">
        <v>1.0874999999999999</v>
      </c>
      <c r="E7" s="13" t="s">
        <v>56</v>
      </c>
    </row>
    <row r="8" spans="1:5" ht="28.8" x14ac:dyDescent="0.3">
      <c r="A8" s="17" t="s">
        <v>57</v>
      </c>
      <c r="B8" s="13" t="s">
        <v>58</v>
      </c>
      <c r="C8" s="18" t="s">
        <v>59</v>
      </c>
      <c r="D8" s="21">
        <v>4.0300000000000002E-2</v>
      </c>
      <c r="E8" s="13" t="s">
        <v>60</v>
      </c>
    </row>
    <row r="9" spans="1:5" x14ac:dyDescent="0.3">
      <c r="A9" s="17" t="s">
        <v>61</v>
      </c>
      <c r="B9" s="13" t="s">
        <v>62</v>
      </c>
      <c r="C9" s="18" t="s">
        <v>59</v>
      </c>
      <c r="D9" s="21">
        <v>2.8799999999999999E-2</v>
      </c>
      <c r="E9" s="13" t="s">
        <v>63</v>
      </c>
    </row>
    <row r="10" spans="1:5" x14ac:dyDescent="0.3">
      <c r="A10" s="17" t="s">
        <v>64</v>
      </c>
      <c r="B10" s="13" t="s">
        <v>65</v>
      </c>
      <c r="C10" s="18" t="s">
        <v>52</v>
      </c>
      <c r="D10" s="20">
        <v>1.1399999999999999</v>
      </c>
      <c r="E10" s="13" t="s">
        <v>66</v>
      </c>
    </row>
    <row r="11" spans="1:5" x14ac:dyDescent="0.3">
      <c r="A11" s="17" t="s">
        <v>67</v>
      </c>
      <c r="B11" s="13" t="s">
        <v>68</v>
      </c>
      <c r="C11" s="18" t="s">
        <v>52</v>
      </c>
      <c r="D11" s="20">
        <v>1.1399999999999999</v>
      </c>
      <c r="E11" s="13" t="s">
        <v>66</v>
      </c>
    </row>
    <row r="12" spans="1:5" x14ac:dyDescent="0.3">
      <c r="A12" s="17" t="s">
        <v>69</v>
      </c>
      <c r="B12" s="13" t="s">
        <v>70</v>
      </c>
      <c r="C12" s="18" t="s">
        <v>71</v>
      </c>
      <c r="D12" s="22">
        <v>1.4999999999999999E-2</v>
      </c>
      <c r="E12" s="13" t="s">
        <v>72</v>
      </c>
    </row>
    <row r="13" spans="1:5" x14ac:dyDescent="0.3">
      <c r="A13" s="17" t="s">
        <v>73</v>
      </c>
      <c r="B13" s="13" t="s">
        <v>74</v>
      </c>
      <c r="C13" s="18" t="s">
        <v>71</v>
      </c>
      <c r="D13" s="22">
        <v>1.7999999999999999E-2</v>
      </c>
      <c r="E13" s="13" t="s">
        <v>72</v>
      </c>
    </row>
    <row r="14" spans="1:5" x14ac:dyDescent="0.3">
      <c r="A14" s="17" t="s">
        <v>75</v>
      </c>
      <c r="B14" s="13" t="s">
        <v>76</v>
      </c>
      <c r="C14" s="18" t="s">
        <v>77</v>
      </c>
      <c r="D14" s="23">
        <v>365</v>
      </c>
      <c r="E14" s="13" t="s">
        <v>78</v>
      </c>
    </row>
    <row r="16" spans="1:5" x14ac:dyDescent="0.3">
      <c r="A16" s="7" t="s">
        <v>79</v>
      </c>
    </row>
    <row r="17" spans="1:5" ht="27.6" x14ac:dyDescent="0.3">
      <c r="A17" s="11" t="s">
        <v>41</v>
      </c>
      <c r="B17" s="11" t="s">
        <v>42</v>
      </c>
      <c r="C17" s="11" t="s">
        <v>43</v>
      </c>
      <c r="D17" s="11" t="s">
        <v>44</v>
      </c>
      <c r="E17" s="11" t="s">
        <v>80</v>
      </c>
    </row>
    <row r="18" spans="1:5" x14ac:dyDescent="0.3">
      <c r="A18" s="17" t="s">
        <v>81</v>
      </c>
      <c r="B18" s="18" t="s">
        <v>82</v>
      </c>
      <c r="C18" s="18" t="s">
        <v>83</v>
      </c>
      <c r="D18" s="24">
        <f>1+R_USD*T_DAYS/360</f>
        <v>1.0408597222222222</v>
      </c>
      <c r="E18" s="25" t="s">
        <v>84</v>
      </c>
    </row>
    <row r="19" spans="1:5" x14ac:dyDescent="0.3">
      <c r="A19" s="17" t="s">
        <v>85</v>
      </c>
      <c r="B19" s="18" t="s">
        <v>86</v>
      </c>
      <c r="C19" s="18" t="s">
        <v>83</v>
      </c>
      <c r="D19" s="24">
        <f>1+R_FC*T_DAYS/360</f>
        <v>1.0291999999999999</v>
      </c>
      <c r="E19" s="25" t="s">
        <v>87</v>
      </c>
    </row>
    <row r="21" spans="1:5" x14ac:dyDescent="0.3">
      <c r="A21" s="7" t="s">
        <v>88</v>
      </c>
    </row>
    <row r="22" spans="1:5" ht="27.6" x14ac:dyDescent="0.3">
      <c r="A22" s="11" t="s">
        <v>41</v>
      </c>
      <c r="B22" s="11" t="s">
        <v>42</v>
      </c>
      <c r="C22" s="11" t="s">
        <v>43</v>
      </c>
      <c r="D22" s="11" t="s">
        <v>44</v>
      </c>
      <c r="E22" s="11" t="s">
        <v>89</v>
      </c>
    </row>
    <row r="23" spans="1:5" ht="28.8" x14ac:dyDescent="0.3">
      <c r="A23" s="17" t="s">
        <v>90</v>
      </c>
      <c r="B23" s="18" t="s">
        <v>91</v>
      </c>
      <c r="C23" s="18" t="s">
        <v>92</v>
      </c>
      <c r="D23" s="26">
        <v>0.01</v>
      </c>
      <c r="E23" s="13" t="s">
        <v>93</v>
      </c>
    </row>
    <row r="25" spans="1:5" ht="45" customHeight="1" x14ac:dyDescent="0.3">
      <c r="A25" s="2" t="s">
        <v>94</v>
      </c>
      <c r="B25" s="2"/>
      <c r="C25" s="2"/>
      <c r="D25" s="2"/>
      <c r="E25" s="2"/>
    </row>
  </sheetData>
  <mergeCells count="3">
    <mergeCell ref="A1:E1"/>
    <mergeCell ref="A2:E2"/>
    <mergeCell ref="A25:E25"/>
  </mergeCells>
  <pageMargins left="0.75" right="0.75" top="1" bottom="1" header="0.511811023622047" footer="0.511811023622047"/>
  <pageSetup paperSize="9" scale="87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5"/>
  <sheetViews>
    <sheetView showGridLines="0" tabSelected="1" zoomScaleNormal="100" workbookViewId="0">
      <selection activeCell="P12" sqref="P12"/>
    </sheetView>
  </sheetViews>
  <sheetFormatPr defaultColWidth="8.6640625" defaultRowHeight="14.4" x14ac:dyDescent="0.3"/>
  <cols>
    <col min="1" max="1" width="22" customWidth="1"/>
    <col min="2" max="2" width="34" customWidth="1"/>
    <col min="3" max="3" width="18" customWidth="1"/>
    <col min="4" max="4" width="50" customWidth="1"/>
  </cols>
  <sheetData>
    <row r="1" spans="1:4" ht="17.399999999999999" x14ac:dyDescent="0.3">
      <c r="A1" s="5" t="s">
        <v>95</v>
      </c>
      <c r="B1" s="5"/>
      <c r="C1" s="5"/>
      <c r="D1" s="5"/>
    </row>
    <row r="2" spans="1:4" x14ac:dyDescent="0.3">
      <c r="A2" s="1" t="s">
        <v>96</v>
      </c>
      <c r="B2" s="1"/>
      <c r="C2" s="1"/>
      <c r="D2" s="1"/>
    </row>
    <row r="4" spans="1:4" x14ac:dyDescent="0.3">
      <c r="A4" s="11" t="s">
        <v>41</v>
      </c>
      <c r="B4" s="11" t="s">
        <v>42</v>
      </c>
      <c r="C4" s="11" t="s">
        <v>44</v>
      </c>
      <c r="D4" s="11" t="s">
        <v>80</v>
      </c>
    </row>
    <row r="5" spans="1:4" x14ac:dyDescent="0.3">
      <c r="A5" s="17" t="s">
        <v>97</v>
      </c>
      <c r="B5" s="18" t="s">
        <v>98</v>
      </c>
      <c r="C5" s="27">
        <f>FC_AMT*F0_in</f>
        <v>4292762.6999999993</v>
      </c>
      <c r="D5" s="25" t="s">
        <v>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4"/>
  <sheetViews>
    <sheetView showGridLines="0" tabSelected="1" zoomScaleNormal="100" workbookViewId="0">
      <selection activeCell="P12" sqref="P12"/>
    </sheetView>
  </sheetViews>
  <sheetFormatPr defaultColWidth="8.6640625" defaultRowHeight="14.4" x14ac:dyDescent="0.3"/>
  <cols>
    <col min="1" max="1" width="16.33203125" customWidth="1"/>
    <col min="2" max="2" width="80.44140625" bestFit="1" customWidth="1"/>
    <col min="3" max="3" width="11" bestFit="1" customWidth="1"/>
    <col min="4" max="4" width="26.21875" bestFit="1" customWidth="1"/>
  </cols>
  <sheetData>
    <row r="1" spans="1:4" ht="17.399999999999999" x14ac:dyDescent="0.3">
      <c r="A1" s="5" t="s">
        <v>100</v>
      </c>
      <c r="B1" s="5"/>
      <c r="C1" s="5"/>
      <c r="D1" s="5"/>
    </row>
    <row r="2" spans="1:4" ht="27.75" customHeight="1" x14ac:dyDescent="0.3">
      <c r="A2" s="3" t="s">
        <v>101</v>
      </c>
      <c r="B2" s="3"/>
      <c r="C2" s="3"/>
      <c r="D2" s="3"/>
    </row>
    <row r="4" spans="1:4" x14ac:dyDescent="0.3">
      <c r="A4" s="11" t="s">
        <v>41</v>
      </c>
      <c r="B4" s="11" t="s">
        <v>42</v>
      </c>
      <c r="C4" s="11" t="s">
        <v>44</v>
      </c>
      <c r="D4" s="11" t="s">
        <v>80</v>
      </c>
    </row>
    <row r="5" spans="1:4" x14ac:dyDescent="0.3">
      <c r="A5" s="17" t="s">
        <v>102</v>
      </c>
      <c r="B5" s="18" t="s">
        <v>103</v>
      </c>
      <c r="C5" s="28">
        <f>FC_AMT/DF_FC</f>
        <v>3835375.0485814228</v>
      </c>
      <c r="D5" s="25" t="s">
        <v>104</v>
      </c>
    </row>
    <row r="6" spans="1:4" x14ac:dyDescent="0.3">
      <c r="A6" s="17" t="s">
        <v>105</v>
      </c>
      <c r="B6" s="18" t="s">
        <v>106</v>
      </c>
      <c r="C6" s="27">
        <f>BORROW_EUR*S0_in</f>
        <v>4372327.5553828217</v>
      </c>
      <c r="D6" s="25" t="s">
        <v>107</v>
      </c>
    </row>
    <row r="7" spans="1:4" x14ac:dyDescent="0.3">
      <c r="A7" s="17" t="s">
        <v>108</v>
      </c>
      <c r="B7" s="18" t="s">
        <v>109</v>
      </c>
      <c r="C7" s="27">
        <f>USD_NOW*DF_USD</f>
        <v>4550979.6447603321</v>
      </c>
      <c r="D7" s="25" t="s">
        <v>110</v>
      </c>
    </row>
    <row r="9" spans="1:4" x14ac:dyDescent="0.3">
      <c r="A9" s="7" t="s">
        <v>111</v>
      </c>
    </row>
    <row r="10" spans="1:4" x14ac:dyDescent="0.3">
      <c r="A10" s="11" t="s">
        <v>41</v>
      </c>
      <c r="B10" s="11" t="s">
        <v>42</v>
      </c>
      <c r="C10" s="11" t="s">
        <v>44</v>
      </c>
      <c r="D10" s="11" t="s">
        <v>80</v>
      </c>
    </row>
    <row r="11" spans="1:4" x14ac:dyDescent="0.3">
      <c r="A11" s="17" t="s">
        <v>112</v>
      </c>
      <c r="B11" s="18" t="s">
        <v>113</v>
      </c>
      <c r="C11" s="29">
        <f>S0_in*DF_USD/DF_FC</f>
        <v>1.1529149663168805</v>
      </c>
      <c r="D11" s="25" t="s">
        <v>114</v>
      </c>
    </row>
    <row r="12" spans="1:4" x14ac:dyDescent="0.3">
      <c r="A12" s="17" t="s">
        <v>115</v>
      </c>
      <c r="B12" s="18" t="s">
        <v>116</v>
      </c>
      <c r="C12" s="29">
        <f>F_IMPLIED-F0_in</f>
        <v>6.5414966316880596E-2</v>
      </c>
      <c r="D12" s="18"/>
    </row>
    <row r="14" spans="1:4" ht="60" customHeight="1" x14ac:dyDescent="0.3">
      <c r="A14" s="2" t="s">
        <v>117</v>
      </c>
      <c r="B14" s="2"/>
      <c r="C14" s="2"/>
      <c r="D14" s="2"/>
    </row>
  </sheetData>
  <mergeCells count="3">
    <mergeCell ref="A1:D1"/>
    <mergeCell ref="A2:D2"/>
    <mergeCell ref="A14:D14"/>
  </mergeCells>
  <pageMargins left="0.75" right="0.75" top="1" bottom="1" header="0.511811023622047" footer="0.511811023622047"/>
  <pageSetup paperSize="9" scale="96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25"/>
  <sheetViews>
    <sheetView showGridLines="0" tabSelected="1" zoomScaleNormal="100" workbookViewId="0">
      <selection activeCell="P12" sqref="P12"/>
    </sheetView>
  </sheetViews>
  <sheetFormatPr defaultColWidth="8.6640625" defaultRowHeight="14.4" x14ac:dyDescent="0.3"/>
  <cols>
    <col min="1" max="1" width="26.21875" bestFit="1" customWidth="1"/>
    <col min="2" max="2" width="68.33203125" bestFit="1" customWidth="1"/>
    <col min="3" max="3" width="16.21875" bestFit="1" customWidth="1"/>
    <col min="4" max="4" width="51.77734375" bestFit="1" customWidth="1"/>
    <col min="5" max="6" width="18" customWidth="1"/>
  </cols>
  <sheetData>
    <row r="1" spans="1:6" ht="17.399999999999999" x14ac:dyDescent="0.3">
      <c r="A1" s="5" t="s">
        <v>118</v>
      </c>
      <c r="B1" s="5"/>
      <c r="C1" s="5"/>
      <c r="D1" s="5"/>
      <c r="E1" s="5"/>
      <c r="F1" s="5"/>
    </row>
    <row r="2" spans="1:6" x14ac:dyDescent="0.3">
      <c r="A2" s="1" t="s">
        <v>119</v>
      </c>
      <c r="B2" s="1"/>
      <c r="C2" s="1"/>
      <c r="D2" s="1"/>
      <c r="E2" s="1"/>
      <c r="F2" s="1"/>
    </row>
    <row r="4" spans="1:6" ht="27.6" x14ac:dyDescent="0.3">
      <c r="A4" s="11" t="s">
        <v>41</v>
      </c>
      <c r="B4" s="11" t="s">
        <v>42</v>
      </c>
      <c r="C4" s="11" t="s">
        <v>44</v>
      </c>
      <c r="D4" s="11" t="s">
        <v>80</v>
      </c>
    </row>
    <row r="5" spans="1:6" x14ac:dyDescent="0.3">
      <c r="A5" s="17" t="s">
        <v>120</v>
      </c>
      <c r="B5" s="18" t="s">
        <v>121</v>
      </c>
      <c r="C5" s="27">
        <f>-PREM_PUT*FC_AMT*DF_USD</f>
        <v>-61629.845399833328</v>
      </c>
      <c r="D5" s="25" t="s">
        <v>122</v>
      </c>
    </row>
    <row r="6" spans="1:6" x14ac:dyDescent="0.3">
      <c r="A6" s="17" t="s">
        <v>123</v>
      </c>
      <c r="B6" s="18" t="s">
        <v>124</v>
      </c>
      <c r="C6" s="27">
        <f>(PREM_CALL-PREM_PUT)*FC_AMT*DF_USD</f>
        <v>12325.969079966664</v>
      </c>
      <c r="D6" s="25" t="s">
        <v>125</v>
      </c>
    </row>
    <row r="8" spans="1:6" x14ac:dyDescent="0.3">
      <c r="A8" s="7" t="s">
        <v>126</v>
      </c>
    </row>
    <row r="9" spans="1:6" ht="27.6" x14ac:dyDescent="0.3">
      <c r="A9" s="11" t="s">
        <v>127</v>
      </c>
      <c r="B9" s="11" t="s">
        <v>128</v>
      </c>
      <c r="C9" s="11" t="s">
        <v>129</v>
      </c>
      <c r="D9" s="11" t="s">
        <v>130</v>
      </c>
    </row>
    <row r="10" spans="1:6" x14ac:dyDescent="0.3">
      <c r="A10" s="30">
        <v>-5</v>
      </c>
      <c r="B10" s="29">
        <f t="shared" ref="B10:B20" si="0">S0_in*(1+A10*STEP_PCT)</f>
        <v>1.083</v>
      </c>
      <c r="C10" s="27">
        <f t="shared" ref="C10:C20" si="1">MAX(B10,K_PUT)*FC_AMT+FV_PREM_PUT</f>
        <v>4438369.6746001663</v>
      </c>
      <c r="D10" s="27">
        <f t="shared" ref="D10:D20" si="2">MIN(MAX(B10,K_PUT),K_CALL)*FC_AMT+FV_NET_PREM_COLLAR</f>
        <v>4512325.4890799662</v>
      </c>
    </row>
    <row r="11" spans="1:6" x14ac:dyDescent="0.3">
      <c r="A11" s="30">
        <v>-4</v>
      </c>
      <c r="B11" s="29">
        <f t="shared" si="0"/>
        <v>1.0943999999999998</v>
      </c>
      <c r="C11" s="27">
        <f t="shared" si="1"/>
        <v>4438369.6746001663</v>
      </c>
      <c r="D11" s="27">
        <f t="shared" si="2"/>
        <v>4512325.4890799662</v>
      </c>
    </row>
    <row r="12" spans="1:6" x14ac:dyDescent="0.3">
      <c r="A12" s="30">
        <v>-3</v>
      </c>
      <c r="B12" s="29">
        <f t="shared" si="0"/>
        <v>1.1057999999999999</v>
      </c>
      <c r="C12" s="27">
        <f t="shared" si="1"/>
        <v>4438369.6746001663</v>
      </c>
      <c r="D12" s="27">
        <f t="shared" si="2"/>
        <v>4512325.4890799662</v>
      </c>
    </row>
    <row r="13" spans="1:6" x14ac:dyDescent="0.3">
      <c r="A13" s="30">
        <v>-2</v>
      </c>
      <c r="B13" s="29">
        <f t="shared" si="0"/>
        <v>1.1172</v>
      </c>
      <c r="C13" s="27">
        <f t="shared" si="1"/>
        <v>4438369.6746001663</v>
      </c>
      <c r="D13" s="27">
        <f t="shared" si="2"/>
        <v>4512325.4890799662</v>
      </c>
    </row>
    <row r="14" spans="1:6" x14ac:dyDescent="0.3">
      <c r="A14" s="30">
        <v>-1</v>
      </c>
      <c r="B14" s="29">
        <f t="shared" si="0"/>
        <v>1.1285999999999998</v>
      </c>
      <c r="C14" s="27">
        <f t="shared" si="1"/>
        <v>4438369.6746001663</v>
      </c>
      <c r="D14" s="27">
        <f t="shared" si="2"/>
        <v>4512325.4890799662</v>
      </c>
    </row>
    <row r="15" spans="1:6" x14ac:dyDescent="0.3">
      <c r="A15" s="30">
        <v>0</v>
      </c>
      <c r="B15" s="29">
        <f t="shared" si="0"/>
        <v>1.1399999999999999</v>
      </c>
      <c r="C15" s="27">
        <f t="shared" si="1"/>
        <v>4438369.6746001663</v>
      </c>
      <c r="D15" s="27">
        <f t="shared" si="2"/>
        <v>4512325.4890799662</v>
      </c>
    </row>
    <row r="16" spans="1:6" x14ac:dyDescent="0.3">
      <c r="A16" s="30">
        <v>1</v>
      </c>
      <c r="B16" s="29">
        <f t="shared" si="0"/>
        <v>1.1514</v>
      </c>
      <c r="C16" s="27">
        <f t="shared" si="1"/>
        <v>4483369.669800167</v>
      </c>
      <c r="D16" s="27">
        <f t="shared" si="2"/>
        <v>4512325.4890799662</v>
      </c>
    </row>
    <row r="17" spans="1:4" x14ac:dyDescent="0.3">
      <c r="A17" s="30">
        <v>2</v>
      </c>
      <c r="B17" s="29">
        <f t="shared" si="0"/>
        <v>1.1627999999999998</v>
      </c>
      <c r="C17" s="27">
        <f t="shared" si="1"/>
        <v>4528369.6650001658</v>
      </c>
      <c r="D17" s="27">
        <f t="shared" si="2"/>
        <v>4512325.4890799662</v>
      </c>
    </row>
    <row r="18" spans="1:4" x14ac:dyDescent="0.3">
      <c r="A18" s="30">
        <v>3</v>
      </c>
      <c r="B18" s="29">
        <f t="shared" si="0"/>
        <v>1.1741999999999999</v>
      </c>
      <c r="C18" s="27">
        <f t="shared" si="1"/>
        <v>4573369.6602001665</v>
      </c>
      <c r="D18" s="27">
        <f t="shared" si="2"/>
        <v>4512325.4890799662</v>
      </c>
    </row>
    <row r="19" spans="1:4" x14ac:dyDescent="0.3">
      <c r="A19" s="30">
        <v>4</v>
      </c>
      <c r="B19" s="29">
        <f t="shared" si="0"/>
        <v>1.1856</v>
      </c>
      <c r="C19" s="27">
        <f t="shared" si="1"/>
        <v>4618369.6554001663</v>
      </c>
      <c r="D19" s="27">
        <f t="shared" si="2"/>
        <v>4512325.4890799662</v>
      </c>
    </row>
    <row r="20" spans="1:4" x14ac:dyDescent="0.3">
      <c r="A20" s="30">
        <v>5</v>
      </c>
      <c r="B20" s="29">
        <f t="shared" si="0"/>
        <v>1.1969999999999998</v>
      </c>
      <c r="C20" s="27">
        <f t="shared" si="1"/>
        <v>4663369.6506001661</v>
      </c>
      <c r="D20" s="27">
        <f t="shared" si="2"/>
        <v>4512325.4890799662</v>
      </c>
    </row>
    <row r="22" spans="1:4" ht="27.6" x14ac:dyDescent="0.3">
      <c r="A22" s="11" t="s">
        <v>41</v>
      </c>
      <c r="B22" s="11" t="s">
        <v>42</v>
      </c>
      <c r="C22" s="11" t="s">
        <v>44</v>
      </c>
      <c r="D22" s="11" t="s">
        <v>80</v>
      </c>
    </row>
    <row r="23" spans="1:4" x14ac:dyDescent="0.3">
      <c r="A23" s="17" t="s">
        <v>131</v>
      </c>
      <c r="B23" s="18" t="s">
        <v>132</v>
      </c>
      <c r="C23" s="27">
        <f>C15</f>
        <v>4438369.6746001663</v>
      </c>
      <c r="D23" s="25" t="s">
        <v>133</v>
      </c>
    </row>
    <row r="24" spans="1:4" x14ac:dyDescent="0.3">
      <c r="A24" s="17" t="s">
        <v>134</v>
      </c>
      <c r="B24" s="18" t="s">
        <v>135</v>
      </c>
      <c r="C24" s="27">
        <f>MIN(C10:C20)</f>
        <v>4438369.6746001663</v>
      </c>
      <c r="D24" s="25" t="s">
        <v>136</v>
      </c>
    </row>
    <row r="25" spans="1:4" x14ac:dyDescent="0.3">
      <c r="A25" s="17" t="s">
        <v>137</v>
      </c>
      <c r="B25" s="18" t="s">
        <v>138</v>
      </c>
      <c r="C25" s="27">
        <f>D15</f>
        <v>4512325.4890799662</v>
      </c>
      <c r="D25" s="25" t="s">
        <v>133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scale="65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M24"/>
  <sheetViews>
    <sheetView showGridLines="0" tabSelected="1" zoomScaleNormal="100" workbookViewId="0">
      <pane xSplit="2" ySplit="13" topLeftCell="C14" activePane="bottomRight" state="frozen"/>
      <selection activeCell="P12" sqref="P12"/>
      <selection pane="topRight" activeCell="P12" sqref="P12"/>
      <selection pane="bottomLeft" activeCell="P12" sqref="P12"/>
      <selection pane="bottomRight" activeCell="P12" sqref="P12"/>
    </sheetView>
  </sheetViews>
  <sheetFormatPr defaultColWidth="8.6640625" defaultRowHeight="14.4" x14ac:dyDescent="0.3"/>
  <cols>
    <col min="1" max="1" width="45.109375" bestFit="1" customWidth="1"/>
    <col min="2" max="2" width="11" customWidth="1"/>
    <col min="3" max="3" width="13.77734375" bestFit="1" customWidth="1"/>
    <col min="4" max="5" width="11" bestFit="1" customWidth="1"/>
    <col min="6" max="6" width="11.77734375" bestFit="1" customWidth="1"/>
    <col min="7" max="7" width="11" bestFit="1" customWidth="1"/>
    <col min="8" max="8" width="11.6640625" bestFit="1" customWidth="1"/>
    <col min="9" max="9" width="11.109375" bestFit="1" customWidth="1"/>
    <col min="10" max="10" width="10.77734375" bestFit="1" customWidth="1"/>
    <col min="11" max="11" width="10.6640625" bestFit="1" customWidth="1"/>
    <col min="12" max="13" width="13.77734375" bestFit="1" customWidth="1"/>
  </cols>
  <sheetData>
    <row r="1" spans="1:13" ht="17.399999999999999" x14ac:dyDescent="0.3">
      <c r="A1" s="5" t="s">
        <v>139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ht="15" customHeight="1" x14ac:dyDescent="0.3">
      <c r="A2" s="3" t="s">
        <v>140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 x14ac:dyDescent="0.3">
      <c r="A4" s="7" t="s">
        <v>141</v>
      </c>
    </row>
    <row r="5" spans="1:13" ht="55.2" x14ac:dyDescent="0.3">
      <c r="A5" s="11" t="s">
        <v>142</v>
      </c>
      <c r="B5" s="11" t="s">
        <v>143</v>
      </c>
      <c r="C5" s="11" t="s">
        <v>144</v>
      </c>
    </row>
    <row r="6" spans="1:13" x14ac:dyDescent="0.3">
      <c r="A6" s="17" t="s">
        <v>145</v>
      </c>
      <c r="B6" s="27">
        <f>FC_AMT*S0_in</f>
        <v>4499999.5199999996</v>
      </c>
      <c r="C6" s="27">
        <v>0</v>
      </c>
    </row>
    <row r="7" spans="1:13" x14ac:dyDescent="0.3">
      <c r="A7" s="17" t="s">
        <v>146</v>
      </c>
      <c r="B7" s="31">
        <f>USD_FWD</f>
        <v>4292762.6999999993</v>
      </c>
      <c r="C7" s="27">
        <f>B7-B6</f>
        <v>-207236.8200000003</v>
      </c>
    </row>
    <row r="8" spans="1:13" x14ac:dyDescent="0.3">
      <c r="A8" s="17" t="s">
        <v>147</v>
      </c>
      <c r="B8" s="31">
        <f>USD_MM</f>
        <v>4550979.6447603321</v>
      </c>
      <c r="C8" s="27">
        <f>B8-B6</f>
        <v>50980.124760332517</v>
      </c>
    </row>
    <row r="9" spans="1:13" x14ac:dyDescent="0.3">
      <c r="A9" s="17" t="s">
        <v>148</v>
      </c>
      <c r="B9" s="31">
        <f>USD_PUT_BASE</f>
        <v>4438369.6746001663</v>
      </c>
      <c r="C9" s="27">
        <f>B9-B6</f>
        <v>-61629.845399833284</v>
      </c>
    </row>
    <row r="10" spans="1:13" x14ac:dyDescent="0.3">
      <c r="A10" s="17" t="s">
        <v>149</v>
      </c>
      <c r="B10" s="31">
        <f>USD_COLLAR_BASE</f>
        <v>4512325.4890799662</v>
      </c>
      <c r="C10" s="27">
        <f>B10-B6</f>
        <v>12325.969079966657</v>
      </c>
    </row>
    <row r="12" spans="1:13" x14ac:dyDescent="0.3">
      <c r="A12" s="7" t="s">
        <v>150</v>
      </c>
    </row>
    <row r="13" spans="1:13" ht="27.6" x14ac:dyDescent="0.3">
      <c r="A13" s="11" t="s">
        <v>127</v>
      </c>
      <c r="B13" s="11" t="s">
        <v>128</v>
      </c>
      <c r="C13" s="11" t="s">
        <v>145</v>
      </c>
      <c r="D13" s="11" t="s">
        <v>146</v>
      </c>
      <c r="E13" s="11" t="s">
        <v>147</v>
      </c>
      <c r="F13" s="11" t="s">
        <v>148</v>
      </c>
      <c r="G13" s="11" t="s">
        <v>149</v>
      </c>
      <c r="H13" s="11" t="s">
        <v>151</v>
      </c>
      <c r="I13" s="11" t="s">
        <v>152</v>
      </c>
      <c r="J13" s="11" t="s">
        <v>153</v>
      </c>
      <c r="K13" s="11" t="s">
        <v>154</v>
      </c>
      <c r="L13" s="11" t="s">
        <v>155</v>
      </c>
      <c r="M13" s="11" t="s">
        <v>156</v>
      </c>
    </row>
    <row r="14" spans="1:13" x14ac:dyDescent="0.3">
      <c r="A14" s="30">
        <v>-5</v>
      </c>
      <c r="B14" s="32">
        <f>Options!B10</f>
        <v>1.083</v>
      </c>
      <c r="C14" s="27">
        <f t="shared" ref="C14:C24" si="0">B14*FC_AMT</f>
        <v>4274999.5439999998</v>
      </c>
      <c r="D14" s="31">
        <f t="shared" ref="D14:D24" si="1">USD_FWD</f>
        <v>4292762.6999999993</v>
      </c>
      <c r="E14" s="31">
        <f t="shared" ref="E14:E24" si="2">USD_MM</f>
        <v>4550979.6447603321</v>
      </c>
      <c r="F14" s="31">
        <f>Options!C10</f>
        <v>4438369.6746001663</v>
      </c>
      <c r="G14" s="31">
        <f>Options!D10</f>
        <v>4512325.4890799662</v>
      </c>
      <c r="H14" s="27">
        <f t="shared" ref="H14:H24" si="3">D14-C14</f>
        <v>17763.155999999493</v>
      </c>
      <c r="I14" s="27">
        <f t="shared" ref="I14:I24" si="4">E14-C14</f>
        <v>275980.10076033231</v>
      </c>
      <c r="J14" s="27">
        <f t="shared" ref="J14:J24" si="5">F14-C14</f>
        <v>163370.13060016651</v>
      </c>
      <c r="K14" s="27">
        <f t="shared" ref="K14:K24" si="6">G14-C14</f>
        <v>237325.94507996645</v>
      </c>
      <c r="L14" s="15" t="str">
        <f t="shared" ref="L14:L24" si="7">INDEX($C$13:$G$13,MATCH(MAX(C14:G14),C14:G14,0))</f>
        <v>Money Market</v>
      </c>
      <c r="M14" s="15" t="str">
        <f t="shared" ref="M14:M24" si="8">INDEX($D$13:$G$13,MATCH(MAX(D14:G14),D14:G14,0))</f>
        <v>Money Market</v>
      </c>
    </row>
    <row r="15" spans="1:13" x14ac:dyDescent="0.3">
      <c r="A15" s="30">
        <v>-4</v>
      </c>
      <c r="B15" s="32">
        <f>Options!B11</f>
        <v>1.0943999999999998</v>
      </c>
      <c r="C15" s="27">
        <f t="shared" si="0"/>
        <v>4319999.5391999995</v>
      </c>
      <c r="D15" s="31">
        <f t="shared" si="1"/>
        <v>4292762.6999999993</v>
      </c>
      <c r="E15" s="31">
        <f t="shared" si="2"/>
        <v>4550979.6447603321</v>
      </c>
      <c r="F15" s="31">
        <f>Options!C11</f>
        <v>4438369.6746001663</v>
      </c>
      <c r="G15" s="31">
        <f>Options!D11</f>
        <v>4512325.4890799662</v>
      </c>
      <c r="H15" s="27">
        <f t="shared" si="3"/>
        <v>-27236.839200000279</v>
      </c>
      <c r="I15" s="27">
        <f t="shared" si="4"/>
        <v>230980.10556033254</v>
      </c>
      <c r="J15" s="27">
        <f t="shared" si="5"/>
        <v>118370.13540016674</v>
      </c>
      <c r="K15" s="27">
        <f t="shared" si="6"/>
        <v>192325.94987996668</v>
      </c>
      <c r="L15" s="15" t="str">
        <f t="shared" si="7"/>
        <v>Money Market</v>
      </c>
      <c r="M15" s="15" t="str">
        <f t="shared" si="8"/>
        <v>Money Market</v>
      </c>
    </row>
    <row r="16" spans="1:13" x14ac:dyDescent="0.3">
      <c r="A16" s="30">
        <v>-3</v>
      </c>
      <c r="B16" s="32">
        <f>Options!B12</f>
        <v>1.1057999999999999</v>
      </c>
      <c r="C16" s="27">
        <f t="shared" si="0"/>
        <v>4364999.5343999993</v>
      </c>
      <c r="D16" s="31">
        <f t="shared" si="1"/>
        <v>4292762.6999999993</v>
      </c>
      <c r="E16" s="31">
        <f t="shared" si="2"/>
        <v>4550979.6447603321</v>
      </c>
      <c r="F16" s="31">
        <f>Options!C12</f>
        <v>4438369.6746001663</v>
      </c>
      <c r="G16" s="31">
        <f>Options!D12</f>
        <v>4512325.4890799662</v>
      </c>
      <c r="H16" s="27">
        <f t="shared" si="3"/>
        <v>-72236.834400000051</v>
      </c>
      <c r="I16" s="27">
        <f t="shared" si="4"/>
        <v>185980.11036033276</v>
      </c>
      <c r="J16" s="27">
        <f t="shared" si="5"/>
        <v>73370.140200166963</v>
      </c>
      <c r="K16" s="27">
        <f t="shared" si="6"/>
        <v>147325.9546799669</v>
      </c>
      <c r="L16" s="15" t="str">
        <f t="shared" si="7"/>
        <v>Money Market</v>
      </c>
      <c r="M16" s="15" t="str">
        <f t="shared" si="8"/>
        <v>Money Market</v>
      </c>
    </row>
    <row r="17" spans="1:13" x14ac:dyDescent="0.3">
      <c r="A17" s="30">
        <v>-2</v>
      </c>
      <c r="B17" s="32">
        <f>Options!B13</f>
        <v>1.1172</v>
      </c>
      <c r="C17" s="27">
        <f t="shared" si="0"/>
        <v>4409999.5296</v>
      </c>
      <c r="D17" s="31">
        <f t="shared" si="1"/>
        <v>4292762.6999999993</v>
      </c>
      <c r="E17" s="31">
        <f t="shared" si="2"/>
        <v>4550979.6447603321</v>
      </c>
      <c r="F17" s="31">
        <f>Options!C13</f>
        <v>4438369.6746001663</v>
      </c>
      <c r="G17" s="31">
        <f>Options!D13</f>
        <v>4512325.4890799662</v>
      </c>
      <c r="H17" s="27">
        <f t="shared" si="3"/>
        <v>-117236.82960000075</v>
      </c>
      <c r="I17" s="27">
        <f t="shared" si="4"/>
        <v>140980.11516033206</v>
      </c>
      <c r="J17" s="27">
        <f t="shared" si="5"/>
        <v>28370.14500016626</v>
      </c>
      <c r="K17" s="27">
        <f t="shared" si="6"/>
        <v>102325.9594799662</v>
      </c>
      <c r="L17" s="15" t="str">
        <f t="shared" si="7"/>
        <v>Money Market</v>
      </c>
      <c r="M17" s="15" t="str">
        <f t="shared" si="8"/>
        <v>Money Market</v>
      </c>
    </row>
    <row r="18" spans="1:13" x14ac:dyDescent="0.3">
      <c r="A18" s="30">
        <v>-1</v>
      </c>
      <c r="B18" s="32">
        <f>Options!B14</f>
        <v>1.1285999999999998</v>
      </c>
      <c r="C18" s="27">
        <f t="shared" si="0"/>
        <v>4454999.5247999988</v>
      </c>
      <c r="D18" s="31">
        <f t="shared" si="1"/>
        <v>4292762.6999999993</v>
      </c>
      <c r="E18" s="31">
        <f t="shared" si="2"/>
        <v>4550979.6447603321</v>
      </c>
      <c r="F18" s="31">
        <f>Options!C14</f>
        <v>4438369.6746001663</v>
      </c>
      <c r="G18" s="31">
        <f>Options!D14</f>
        <v>4512325.4890799662</v>
      </c>
      <c r="H18" s="27">
        <f t="shared" si="3"/>
        <v>-162236.82479999959</v>
      </c>
      <c r="I18" s="27">
        <f t="shared" si="4"/>
        <v>95980.119960333221</v>
      </c>
      <c r="J18" s="27">
        <f t="shared" si="5"/>
        <v>-16629.850199832581</v>
      </c>
      <c r="K18" s="27">
        <f t="shared" si="6"/>
        <v>57325.96427996736</v>
      </c>
      <c r="L18" s="15" t="str">
        <f t="shared" si="7"/>
        <v>Money Market</v>
      </c>
      <c r="M18" s="15" t="str">
        <f t="shared" si="8"/>
        <v>Money Market</v>
      </c>
    </row>
    <row r="19" spans="1:13" x14ac:dyDescent="0.3">
      <c r="A19" s="30">
        <v>0</v>
      </c>
      <c r="B19" s="33">
        <f>Options!B15</f>
        <v>1.1399999999999999</v>
      </c>
      <c r="C19" s="27">
        <f t="shared" si="0"/>
        <v>4499999.5199999996</v>
      </c>
      <c r="D19" s="31">
        <f t="shared" si="1"/>
        <v>4292762.6999999993</v>
      </c>
      <c r="E19" s="31">
        <f t="shared" si="2"/>
        <v>4550979.6447603321</v>
      </c>
      <c r="F19" s="31">
        <f>Options!C15</f>
        <v>4438369.6746001663</v>
      </c>
      <c r="G19" s="31">
        <f>Options!D15</f>
        <v>4512325.4890799662</v>
      </c>
      <c r="H19" s="27">
        <f t="shared" si="3"/>
        <v>-207236.8200000003</v>
      </c>
      <c r="I19" s="27">
        <f t="shared" si="4"/>
        <v>50980.124760332517</v>
      </c>
      <c r="J19" s="27">
        <f t="shared" si="5"/>
        <v>-61629.845399833284</v>
      </c>
      <c r="K19" s="27">
        <f t="shared" si="6"/>
        <v>12325.969079966657</v>
      </c>
      <c r="L19" s="15" t="str">
        <f t="shared" si="7"/>
        <v>Money Market</v>
      </c>
      <c r="M19" s="15" t="str">
        <f t="shared" si="8"/>
        <v>Money Market</v>
      </c>
    </row>
    <row r="20" spans="1:13" x14ac:dyDescent="0.3">
      <c r="A20" s="30">
        <v>1</v>
      </c>
      <c r="B20" s="32">
        <f>Options!B16</f>
        <v>1.1514</v>
      </c>
      <c r="C20" s="27">
        <f t="shared" si="0"/>
        <v>4544999.5152000003</v>
      </c>
      <c r="D20" s="31">
        <f t="shared" si="1"/>
        <v>4292762.6999999993</v>
      </c>
      <c r="E20" s="31">
        <f t="shared" si="2"/>
        <v>4550979.6447603321</v>
      </c>
      <c r="F20" s="31">
        <f>Options!C16</f>
        <v>4483369.669800167</v>
      </c>
      <c r="G20" s="31">
        <f>Options!D16</f>
        <v>4512325.4890799662</v>
      </c>
      <c r="H20" s="27">
        <f t="shared" si="3"/>
        <v>-252236.815200001</v>
      </c>
      <c r="I20" s="27">
        <f t="shared" si="4"/>
        <v>5980.129560331814</v>
      </c>
      <c r="J20" s="27">
        <f t="shared" si="5"/>
        <v>-61629.845399833284</v>
      </c>
      <c r="K20" s="27">
        <f t="shared" si="6"/>
        <v>-32674.026120034046</v>
      </c>
      <c r="L20" s="15" t="str">
        <f t="shared" si="7"/>
        <v>Money Market</v>
      </c>
      <c r="M20" s="15" t="str">
        <f t="shared" si="8"/>
        <v>Money Market</v>
      </c>
    </row>
    <row r="21" spans="1:13" x14ac:dyDescent="0.3">
      <c r="A21" s="30">
        <v>2</v>
      </c>
      <c r="B21" s="32">
        <f>Options!B17</f>
        <v>1.1627999999999998</v>
      </c>
      <c r="C21" s="27">
        <f t="shared" si="0"/>
        <v>4589999.5103999991</v>
      </c>
      <c r="D21" s="31">
        <f t="shared" si="1"/>
        <v>4292762.6999999993</v>
      </c>
      <c r="E21" s="31">
        <f t="shared" si="2"/>
        <v>4550979.6447603321</v>
      </c>
      <c r="F21" s="31">
        <f>Options!C17</f>
        <v>4528369.6650001658</v>
      </c>
      <c r="G21" s="31">
        <f>Options!D17</f>
        <v>4512325.4890799662</v>
      </c>
      <c r="H21" s="27">
        <f t="shared" si="3"/>
        <v>-297236.81039999984</v>
      </c>
      <c r="I21" s="27">
        <f t="shared" si="4"/>
        <v>-39019.865639667027</v>
      </c>
      <c r="J21" s="27">
        <f t="shared" si="5"/>
        <v>-61629.845399833284</v>
      </c>
      <c r="K21" s="27">
        <f t="shared" si="6"/>
        <v>-77674.021320032887</v>
      </c>
      <c r="L21" s="15" t="str">
        <f t="shared" si="7"/>
        <v>No Hedge</v>
      </c>
      <c r="M21" s="15" t="str">
        <f t="shared" si="8"/>
        <v>Money Market</v>
      </c>
    </row>
    <row r="22" spans="1:13" x14ac:dyDescent="0.3">
      <c r="A22" s="30">
        <v>3</v>
      </c>
      <c r="B22" s="32">
        <f>Options!B18</f>
        <v>1.1741999999999999</v>
      </c>
      <c r="C22" s="27">
        <f t="shared" si="0"/>
        <v>4634999.5055999998</v>
      </c>
      <c r="D22" s="31">
        <f t="shared" si="1"/>
        <v>4292762.6999999993</v>
      </c>
      <c r="E22" s="31">
        <f t="shared" si="2"/>
        <v>4550979.6447603321</v>
      </c>
      <c r="F22" s="31">
        <f>Options!C18</f>
        <v>4573369.6602001665</v>
      </c>
      <c r="G22" s="31">
        <f>Options!D18</f>
        <v>4512325.4890799662</v>
      </c>
      <c r="H22" s="27">
        <f t="shared" si="3"/>
        <v>-342236.80560000055</v>
      </c>
      <c r="I22" s="27">
        <f t="shared" si="4"/>
        <v>-84019.86083966773</v>
      </c>
      <c r="J22" s="27">
        <f t="shared" si="5"/>
        <v>-61629.845399833284</v>
      </c>
      <c r="K22" s="27">
        <f t="shared" si="6"/>
        <v>-122674.01652003359</v>
      </c>
      <c r="L22" s="15" t="str">
        <f t="shared" si="7"/>
        <v>No Hedge</v>
      </c>
      <c r="M22" s="15" t="str">
        <f t="shared" si="8"/>
        <v>Protective Put</v>
      </c>
    </row>
    <row r="23" spans="1:13" x14ac:dyDescent="0.3">
      <c r="A23" s="30">
        <v>4</v>
      </c>
      <c r="B23" s="32">
        <f>Options!B19</f>
        <v>1.1856</v>
      </c>
      <c r="C23" s="27">
        <f t="shared" si="0"/>
        <v>4679999.5007999996</v>
      </c>
      <c r="D23" s="31">
        <f t="shared" si="1"/>
        <v>4292762.6999999993</v>
      </c>
      <c r="E23" s="31">
        <f t="shared" si="2"/>
        <v>4550979.6447603321</v>
      </c>
      <c r="F23" s="31">
        <f>Options!C19</f>
        <v>4618369.6554001663</v>
      </c>
      <c r="G23" s="31">
        <f>Options!D19</f>
        <v>4512325.4890799662</v>
      </c>
      <c r="H23" s="27">
        <f t="shared" si="3"/>
        <v>-387236.80080000032</v>
      </c>
      <c r="I23" s="27">
        <f t="shared" si="4"/>
        <v>-129019.8560396675</v>
      </c>
      <c r="J23" s="27">
        <f t="shared" si="5"/>
        <v>-61629.845399833284</v>
      </c>
      <c r="K23" s="27">
        <f t="shared" si="6"/>
        <v>-167674.01172003336</v>
      </c>
      <c r="L23" s="15" t="str">
        <f t="shared" si="7"/>
        <v>No Hedge</v>
      </c>
      <c r="M23" s="15" t="str">
        <f t="shared" si="8"/>
        <v>Protective Put</v>
      </c>
    </row>
    <row r="24" spans="1:13" x14ac:dyDescent="0.3">
      <c r="A24" s="30">
        <v>5</v>
      </c>
      <c r="B24" s="32">
        <f>Options!B20</f>
        <v>1.1969999999999998</v>
      </c>
      <c r="C24" s="27">
        <f t="shared" si="0"/>
        <v>4724999.4959999993</v>
      </c>
      <c r="D24" s="31">
        <f t="shared" si="1"/>
        <v>4292762.6999999993</v>
      </c>
      <c r="E24" s="31">
        <f t="shared" si="2"/>
        <v>4550979.6447603321</v>
      </c>
      <c r="F24" s="31">
        <f>Options!C20</f>
        <v>4663369.6506001661</v>
      </c>
      <c r="G24" s="31">
        <f>Options!D20</f>
        <v>4512325.4890799662</v>
      </c>
      <c r="H24" s="27">
        <f t="shared" si="3"/>
        <v>-432236.79600000009</v>
      </c>
      <c r="I24" s="27">
        <f t="shared" si="4"/>
        <v>-174019.85123966727</v>
      </c>
      <c r="J24" s="27">
        <f t="shared" si="5"/>
        <v>-61629.845399833284</v>
      </c>
      <c r="K24" s="27">
        <f t="shared" si="6"/>
        <v>-212674.00692003313</v>
      </c>
      <c r="L24" s="15" t="str">
        <f t="shared" si="7"/>
        <v>No Hedge</v>
      </c>
      <c r="M24" s="15" t="str">
        <f t="shared" si="8"/>
        <v>Protective Put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scale="63" orientation="landscape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31"/>
  <sheetViews>
    <sheetView showGridLines="0" topLeftCell="A23" zoomScaleNormal="100" workbookViewId="0">
      <selection activeCell="P12" sqref="P12"/>
    </sheetView>
  </sheetViews>
  <sheetFormatPr defaultColWidth="8.6640625" defaultRowHeight="14.4" x14ac:dyDescent="0.3"/>
  <cols>
    <col min="1" max="1" width="95" customWidth="1"/>
  </cols>
  <sheetData>
    <row r="1" spans="1:1" ht="17.399999999999999" x14ac:dyDescent="0.3">
      <c r="A1" s="6" t="s">
        <v>157</v>
      </c>
    </row>
    <row r="3" spans="1:1" x14ac:dyDescent="0.3">
      <c r="A3" s="7" t="s">
        <v>158</v>
      </c>
    </row>
    <row r="4" spans="1:1" ht="60" customHeight="1" x14ac:dyDescent="0.3">
      <c r="A4" s="9" t="s">
        <v>159</v>
      </c>
    </row>
    <row r="6" spans="1:1" x14ac:dyDescent="0.3">
      <c r="A6" s="7" t="s">
        <v>160</v>
      </c>
    </row>
    <row r="7" spans="1:1" ht="60" customHeight="1" x14ac:dyDescent="0.3">
      <c r="A7" s="9" t="s">
        <v>161</v>
      </c>
    </row>
    <row r="9" spans="1:1" x14ac:dyDescent="0.3">
      <c r="A9" s="7" t="s">
        <v>162</v>
      </c>
    </row>
    <row r="10" spans="1:1" ht="60" customHeight="1" x14ac:dyDescent="0.3">
      <c r="A10" s="9" t="s">
        <v>163</v>
      </c>
    </row>
    <row r="12" spans="1:1" x14ac:dyDescent="0.3">
      <c r="A12" s="7" t="s">
        <v>164</v>
      </c>
    </row>
    <row r="13" spans="1:1" ht="60" customHeight="1" x14ac:dyDescent="0.3">
      <c r="A13" s="9" t="s">
        <v>165</v>
      </c>
    </row>
    <row r="15" spans="1:1" x14ac:dyDescent="0.3">
      <c r="A15" s="7" t="s">
        <v>166</v>
      </c>
    </row>
    <row r="16" spans="1:1" ht="60" customHeight="1" x14ac:dyDescent="0.3">
      <c r="A16" s="9" t="s">
        <v>167</v>
      </c>
    </row>
    <row r="18" spans="1:1" x14ac:dyDescent="0.3">
      <c r="A18" s="7" t="s">
        <v>168</v>
      </c>
    </row>
    <row r="19" spans="1:1" ht="60" customHeight="1" x14ac:dyDescent="0.3">
      <c r="A19" s="9" t="s">
        <v>169</v>
      </c>
    </row>
    <row r="21" spans="1:1" x14ac:dyDescent="0.3">
      <c r="A21" s="7" t="s">
        <v>170</v>
      </c>
    </row>
    <row r="22" spans="1:1" ht="60" customHeight="1" x14ac:dyDescent="0.3">
      <c r="A22" s="9" t="s">
        <v>171</v>
      </c>
    </row>
    <row r="24" spans="1:1" x14ac:dyDescent="0.3">
      <c r="A24" s="7" t="s">
        <v>172</v>
      </c>
    </row>
    <row r="25" spans="1:1" ht="60" customHeight="1" x14ac:dyDescent="0.3">
      <c r="A25" s="9" t="s">
        <v>173</v>
      </c>
    </row>
    <row r="27" spans="1:1" x14ac:dyDescent="0.3">
      <c r="A27" s="7" t="s">
        <v>174</v>
      </c>
    </row>
    <row r="28" spans="1:1" ht="60" customHeight="1" x14ac:dyDescent="0.3">
      <c r="A28" s="9" t="s">
        <v>175</v>
      </c>
    </row>
    <row r="30" spans="1:1" x14ac:dyDescent="0.3">
      <c r="A30" s="10" t="s">
        <v>176</v>
      </c>
    </row>
    <row r="31" spans="1:1" ht="75" customHeight="1" x14ac:dyDescent="0.3">
      <c r="A31" s="9" t="s">
        <v>177</v>
      </c>
    </row>
  </sheetData>
  <pageMargins left="0.75" right="0.75" top="1" bottom="1" header="0.511811023622047" footer="0.511811023622047"/>
  <pageSetup paperSize="9" scale="7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24</vt:i4>
      </vt:variant>
    </vt:vector>
  </HeadingPairs>
  <TitlesOfParts>
    <vt:vector size="32" baseType="lpstr">
      <vt:lpstr>Cover</vt:lpstr>
      <vt:lpstr>Legend-Key</vt:lpstr>
      <vt:lpstr>Inputs</vt:lpstr>
      <vt:lpstr>Forward</vt:lpstr>
      <vt:lpstr>MoneyMarket</vt:lpstr>
      <vt:lpstr>Options</vt:lpstr>
      <vt:lpstr>Sensitivity</vt:lpstr>
      <vt:lpstr>Notes-Assumptions</vt:lpstr>
      <vt:lpstr>BORROW_EUR</vt:lpstr>
      <vt:lpstr>DF_FC</vt:lpstr>
      <vt:lpstr>DF_USD</vt:lpstr>
      <vt:lpstr>F_IMPLIED</vt:lpstr>
      <vt:lpstr>F0_in</vt:lpstr>
      <vt:lpstr>FC_AMT</vt:lpstr>
      <vt:lpstr>FV_NET_PREM_COLLAR</vt:lpstr>
      <vt:lpstr>FV_PREM_PUT</vt:lpstr>
      <vt:lpstr>K_CALL</vt:lpstr>
      <vt:lpstr>K_PUT</vt:lpstr>
      <vt:lpstr>PARITY_GAP</vt:lpstr>
      <vt:lpstr>PREM_CALL</vt:lpstr>
      <vt:lpstr>PREM_PUT</vt:lpstr>
      <vt:lpstr>R_FC</vt:lpstr>
      <vt:lpstr>R_USD</vt:lpstr>
      <vt:lpstr>S0_in</vt:lpstr>
      <vt:lpstr>STEP_PCT</vt:lpstr>
      <vt:lpstr>T_DAYS</vt:lpstr>
      <vt:lpstr>USD_COLLAR_BASE</vt:lpstr>
      <vt:lpstr>USD_FWD</vt:lpstr>
      <vt:lpstr>USD_MM</vt:lpstr>
      <vt:lpstr>USD_NOW</vt:lpstr>
      <vt:lpstr>USD_PUT_BASE</vt:lpstr>
      <vt:lpstr>USD_PUT_FLOOR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Yumi Nagayoshi</cp:lastModifiedBy>
  <cp:revision>1</cp:revision>
  <cp:lastPrinted>2026-08-02T22:28:25Z</cp:lastPrinted>
  <dcterms:created xsi:type="dcterms:W3CDTF">2026-08-02T22:16:24Z</dcterms:created>
  <dcterms:modified xsi:type="dcterms:W3CDTF">2026-08-02T22:30:09Z</dcterms:modified>
  <dc:language>en-US</dc:language>
</cp:coreProperties>
</file>