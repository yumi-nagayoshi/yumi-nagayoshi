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-Key" sheetId="2" state="visible" r:id="rId4"/>
    <sheet name="Inputs" sheetId="3" state="visible" r:id="rId5"/>
    <sheet name="Forward" sheetId="4" state="visible" r:id="rId6"/>
    <sheet name="MoneyMarket" sheetId="5" state="visible" r:id="rId7"/>
    <sheet name="Options" sheetId="6" state="visible" r:id="rId8"/>
    <sheet name="Sensitivity" sheetId="7" state="visible" r:id="rId9"/>
    <sheet name="Notes-Assumptions" sheetId="8" state="visible" r:id="rId10"/>
  </sheets>
  <definedNames>
    <definedName function="false" hidden="false" name="BORROW_EUR" vbProcedure="false">MoneyMarket!$C$5</definedName>
    <definedName function="false" hidden="false" name="DF_FC" vbProcedure="false">Inputs!$D$19</definedName>
    <definedName function="false" hidden="false" name="DF_USD" vbProcedure="false">Inputs!$D$18</definedName>
    <definedName function="false" hidden="false" name="F0_in" vbProcedure="false">Inputs!$D$7</definedName>
    <definedName function="false" hidden="false" name="FC_AMT" vbProcedure="false">Inputs!$D$5</definedName>
    <definedName function="false" hidden="false" name="FV_NET_PREM_COLLAR" vbProcedure="false">Options!$C$6</definedName>
    <definedName function="false" hidden="false" name="FV_PREM_PUT" vbProcedure="false">Options!$C$5</definedName>
    <definedName function="false" hidden="false" name="F_IMPLIED" vbProcedure="false">MoneyMarket!$C$11</definedName>
    <definedName function="false" hidden="false" name="K_CALL" vbProcedure="false">Inputs!$D$11</definedName>
    <definedName function="false" hidden="false" name="K_PUT" vbProcedure="false">Inputs!$D$10</definedName>
    <definedName function="false" hidden="false" name="PARITY_GAP" vbProcedure="false">MoneyMarket!$C$12</definedName>
    <definedName function="false" hidden="false" name="PREM_CALL" vbProcedure="false">Inputs!$D$13</definedName>
    <definedName function="false" hidden="false" name="PREM_PUT" vbProcedure="false">Inputs!$D$12</definedName>
    <definedName function="false" hidden="false" name="R_FC" vbProcedure="false">Inputs!$D$9</definedName>
    <definedName function="false" hidden="false" name="R_USD" vbProcedure="false">Inputs!$D$8</definedName>
    <definedName function="false" hidden="false" name="S0_in" vbProcedure="false">Inputs!$D$6</definedName>
    <definedName function="false" hidden="false" name="STEP_PCT" vbProcedure="false">Inputs!$D$23</definedName>
    <definedName function="false" hidden="false" name="T_DAYS" vbProcedure="false">Inputs!$D$14</definedName>
    <definedName function="false" hidden="false" name="USD_COLLAR_BASE" vbProcedure="false">Options!$C$25</definedName>
    <definedName function="false" hidden="false" name="USD_FWD" vbProcedure="false">Forward!$C$5</definedName>
    <definedName function="false" hidden="false" name="USD_MM" vbProcedure="false">MoneyMarket!$C$7</definedName>
    <definedName function="false" hidden="false" name="USD_NOW" vbProcedure="false">MoneyMarket!$C$6</definedName>
    <definedName function="false" hidden="false" name="USD_PUT_BASE" vbProcedure="false">Options!$C$23</definedName>
    <definedName function="false" hidden="false" name="USD_PUT_FLOOR" vbProcedure="false">Options!$C$24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<sst xmlns="http://schemas.openxmlformats.org/spreadsheetml/2006/main" count="223" uniqueCount="179">
  <si>
    <t xml:space="preserve">EUR Receivable Hedge Model — Technical Specification</t>
  </si>
  <si>
    <t xml:space="preserve">Created by</t>
  </si>
  <si>
    <t xml:space="preserve">Yumi Nagayoshi</t>
  </si>
  <si>
    <t xml:space="preserve">Date Created</t>
  </si>
  <si>
    <t xml:space="preserve">2026-07-28</t>
  </si>
  <si>
    <t xml:space="preserve">Version</t>
  </si>
  <si>
    <t xml:space="preserve">0.1 (draft)</t>
  </si>
  <si>
    <t xml:space="preserve">LLM Used</t>
  </si>
  <si>
    <t xml:space="preserve">Claude (Anthropic) — drafted from Stage 1 memo + scenarios.md, Scenario 1</t>
  </si>
  <si>
    <t xml:space="preserve">Role</t>
  </si>
  <si>
    <t xml:space="preserve">Treasury Analyst</t>
  </si>
  <si>
    <t xml:space="preserve">Audience</t>
  </si>
  <si>
    <t xml:space="preserve">CFO / Director of Treasury</t>
  </si>
  <si>
    <t xml:space="preserve">Companion document</t>
  </si>
  <si>
    <t xml:space="preserve">2026-07-21-Nagayoshi-eur-receivable-solar-importer-hedge-framing.md (Stage 1 memo)</t>
  </si>
  <si>
    <t xml:space="preserve">Problem Statement</t>
  </si>
  <si>
    <t xml:space="preserve">The company (a U.S. solar equipment importer) holds a EUR-denominated receivable settling in one year. At today's spot rate, the receivable is worth approximately $4.5M USD-equivalent; a depreciation of EUR against USD over the horizon would reduce realized USD proceeds and compress the margin on the underlying sale. This workbook quantifies and compares four approaches — no hedge, forward hedge, money-market hedge, and option hedges (protective put and zero-cost-structured collar) — to support the hedge recommendation carried forward from the Stage 1 memo.</t>
  </si>
  <si>
    <t xml:space="preserve">Decision Context</t>
  </si>
  <si>
    <t xml:space="preserve">Treasury analysis for CFO review; deal terms are quoted by the counterparty bank (forward, put, call), and the money-market leg is priced off the company's own USD/EUR funding and investment rates.</t>
  </si>
  <si>
    <t xml:space="preserve">Data Sources &amp; Access Dates</t>
  </si>
  <si>
    <t xml:space="preserve">• Spot, forward, and option premiums: counterparty bank quoted deal terms, scenarios.md Scenario 1 (market close near July 20-21, 2026).</t>
  </si>
  <si>
    <t xml:space="preserve">• R_USD placeholder: U.S. Treasury 1Y CMT or equivalent USD funding rate — to be refreshed at Stage 4 execution.</t>
  </si>
  <si>
    <t xml:space="preserve">• R_FC placeholder: 12-month Euribor — to be refreshed at Stage 4 execution.</t>
  </si>
  <si>
    <t xml:space="preserve">• All values in Section 2 (Inputs tab) are INDICATIVE placeholders, to be replaced with live market data at Stage 4.</t>
  </si>
  <si>
    <t xml:space="preserve">⚠ Open Items Carried Into Stage 3</t>
  </si>
  <si>
    <t xml:space="preserve">1. FC_AMT — CONFIRMED: the $4,500,000 receivable is today's USD-equivalent value, translated to EUR at spot (S0_in = 1.14). FC_AMT = 4,500,000 / 1.14 ≈ €3,947,368.</t>
  </si>
  <si>
    <t xml:space="preserve">2. Forward-vs-parity gap (MoneyMarket tab) — verify the counterparty's quoted forward rather than assuming a model error.</t>
  </si>
  <si>
    <t xml:space="preserve">3. Rate basis simplified to single ACT/360 for both legs; revisit if the EUR-side convention differs materially at execution.</t>
  </si>
  <si>
    <t xml:space="preserve">Legend / Key</t>
  </si>
  <si>
    <t xml:space="preserve">Convention</t>
  </si>
  <si>
    <t xml:space="preserve">Meaning</t>
  </si>
  <si>
    <t xml:space="preserve">Yellow fill</t>
  </si>
  <si>
    <t xml:space="preserve">Input — hardcoded placeholder value, replaced with live market data at Stage 4</t>
  </si>
  <si>
    <t xml:space="preserve">Blue text</t>
  </si>
  <si>
    <t xml:space="preserve">Assumption / scenario lever (e.g. grid step size)</t>
  </si>
  <si>
    <t xml:space="preserve">Black text</t>
  </si>
  <si>
    <t xml:space="preserve">Formula — computed from named ranges, never hardcoded</t>
  </si>
  <si>
    <t xml:space="preserve">Green text</t>
  </si>
  <si>
    <t xml:space="preserve">Cross-tab link — pulls a value computed on another tab</t>
  </si>
  <si>
    <t xml:space="preserve">Note: fill color is used for input cells throughout the workbook (yellow). Blue/black/green are applied as font color on formula and link cells; the swatches above use fill only to make each convention visually distinct in this key.</t>
  </si>
  <si>
    <t xml:space="preserve">Inputs — Named-Range Contract</t>
  </si>
  <si>
    <t xml:space="preserve">All values below are indicative — replaced with live market data at Stage 4. Rates and spot reflect market close near July 20-21, 2026; forward and option premiums are the counterparty's quoted deal terms.</t>
  </si>
  <si>
    <t xml:space="preserve">Named Range</t>
  </si>
  <si>
    <t xml:space="preserve">Description</t>
  </si>
  <si>
    <t xml:space="preserve">Unit</t>
  </si>
  <si>
    <t xml:space="preserve">Value</t>
  </si>
  <si>
    <t xml:space="preserve">Stage-4 Data Source</t>
  </si>
  <si>
    <t xml:space="preserve">FC_AMT</t>
  </si>
  <si>
    <t xml:space="preserve">EUR receivable notional</t>
  </si>
  <si>
    <t xml:space="preserve">EUR</t>
  </si>
  <si>
    <t xml:space="preserve">Confirmed: $4,500,000 today's value / spot (1.14) = €3,947,368. Re-verify against signed sales agreement at Stage 4.</t>
  </si>
  <si>
    <t xml:space="preserve">S0_in</t>
  </si>
  <si>
    <t xml:space="preserve">Spot rate at inception</t>
  </si>
  <si>
    <t xml:space="preserve">USD per EUR</t>
  </si>
  <si>
    <t xml:space="preserve">Live EURUSD spot, e.g. Bloomberg/Reuters, at execution</t>
  </si>
  <si>
    <t xml:space="preserve">F0_in</t>
  </si>
  <si>
    <t xml:space="preserve">Forward rate, 1-year</t>
  </si>
  <si>
    <t xml:space="preserve">Counterparty bank forward quote at execution</t>
  </si>
  <si>
    <t xml:space="preserve">R_USD</t>
  </si>
  <si>
    <t xml:space="preserve">USD interest rate</t>
  </si>
  <si>
    <t xml:space="preserve">Annual %, ACT/360</t>
  </si>
  <si>
    <t xml:space="preserve">U.S. Treasury 1Y CMT (or equivalent USD funding rate) at execution</t>
  </si>
  <si>
    <t xml:space="preserve">R_FC</t>
  </si>
  <si>
    <t xml:space="preserve">EUR interest rate</t>
  </si>
  <si>
    <t xml:space="preserve">12-month Euribor at execution</t>
  </si>
  <si>
    <t xml:space="preserve">K_PUT</t>
  </si>
  <si>
    <t xml:space="preserve">Put option strike</t>
  </si>
  <si>
    <t xml:space="preserve">Set at/near live spot at execution</t>
  </si>
  <si>
    <t xml:space="preserve">K_CALL</t>
  </si>
  <si>
    <t xml:space="preserve">Call option strike</t>
  </si>
  <si>
    <t xml:space="preserve">PREM_PUT</t>
  </si>
  <si>
    <t xml:space="preserve">Put premium per unit of FC</t>
  </si>
  <si>
    <t xml:space="preserve">USD</t>
  </si>
  <si>
    <t xml:space="preserve">Counterparty option quote at execution</t>
  </si>
  <si>
    <t xml:space="preserve">PREM_CALL</t>
  </si>
  <si>
    <t xml:space="preserve">Call premium per unit of FC</t>
  </si>
  <si>
    <t xml:space="preserve">T_DAYS</t>
  </si>
  <si>
    <t xml:space="preserve">Days to settlement (feeds DF_USD/DF_FC via ACT/360)</t>
  </si>
  <si>
    <t xml:space="preserve">Days</t>
  </si>
  <si>
    <t xml:space="preserve">Actual days from trade date to settlement date</t>
  </si>
  <si>
    <t xml:space="preserve">Derived Accumulation Factors</t>
  </si>
  <si>
    <t xml:space="preserve">Formula</t>
  </si>
  <si>
    <t xml:space="preserve">DF_USD</t>
  </si>
  <si>
    <t xml:space="preserve">USD accumulation factor</t>
  </si>
  <si>
    <t xml:space="preserve">factor</t>
  </si>
  <si>
    <t xml:space="preserve">1+R_USD × T_DAYS/360 (ACT/360, per spec §4/§5 Step 0)</t>
  </si>
  <si>
    <t xml:space="preserve">DF_FC</t>
  </si>
  <si>
    <t xml:space="preserve">EUR accumulation factor</t>
  </si>
  <si>
    <t xml:space="preserve">1+R_FC × T_DAYS/360 (ACT/360, per spec §4/§5 Step 0)</t>
  </si>
  <si>
    <t xml:space="preserve">Modeling Assumption</t>
  </si>
  <si>
    <t xml:space="preserve">Notes</t>
  </si>
  <si>
    <t xml:space="preserve">STEP_PCT</t>
  </si>
  <si>
    <t xml:space="preserve">Sensitivity grid step size (±5% in 1% steps, 11 points)</t>
  </si>
  <si>
    <t xml:space="preserve">%</t>
  </si>
  <si>
    <t xml:space="preserve">Single input driving the whole sensitivity grid — change here to reshape every grid tab</t>
  </si>
  <si>
    <t xml:space="preserve">✓ FC_AMT confirmed: $4,500,000 is today's USD-equivalent value of the receivable, translated to EUR at S0_in (4,500,000 / 1.1400 ≈ €3,947,368).</t>
  </si>
  <si>
    <t xml:space="preserve">Step 1 — Forward Hedge</t>
  </si>
  <si>
    <t xml:space="preserve">Locked at inception; constant across the sensitivity grid.</t>
  </si>
  <si>
    <t xml:space="preserve">USD_FWD</t>
  </si>
  <si>
    <t xml:space="preserve">USD proceeds locked in via forward contract</t>
  </si>
  <si>
    <t xml:space="preserve">FC_AMT × F0_in</t>
  </si>
  <si>
    <t xml:space="preserve">Step 2 — Money-Market Hedge</t>
  </si>
  <si>
    <t xml:space="preserve">Three-step replication of the forward using the company's own USD/EUR funding and investment rates, plus the covered-interest-parity check.</t>
  </si>
  <si>
    <t xml:space="preserve">BORROW_EUR</t>
  </si>
  <si>
    <t xml:space="preserve">Step 2a — Borrow EUR today, sized so the receivable exactly repays the loan at settlement</t>
  </si>
  <si>
    <t xml:space="preserve">FC_AMT / DF_FC</t>
  </si>
  <si>
    <t xml:space="preserve">USD_NOW</t>
  </si>
  <si>
    <t xml:space="preserve">Step 2b — Convert borrowed EUR to USD at spot</t>
  </si>
  <si>
    <t xml:space="preserve">BORROW_EUR × S0_in</t>
  </si>
  <si>
    <t xml:space="preserve">USD_MM</t>
  </si>
  <si>
    <t xml:space="preserve">Step 2c — Invest USD proceeds at R_USD to settlement</t>
  </si>
  <si>
    <t xml:space="preserve">USD_now × DF_USD</t>
  </si>
  <si>
    <t xml:space="preserve">Parity Check</t>
  </si>
  <si>
    <t xml:space="preserve">F_IMPLIED</t>
  </si>
  <si>
    <t xml:space="preserve">Forward implied by covered interest-rate parity — should ≈ F0_in</t>
  </si>
  <si>
    <t xml:space="preserve">S0_in × DF_USD / DF_FC</t>
  </si>
  <si>
    <t xml:space="preserve">PARITY_GAP</t>
  </si>
  <si>
    <t xml:space="preserve">F_IMPLIED − F0_in (documented gap, not treated as a formula error)</t>
  </si>
  <si>
    <t xml:space="preserve">Note: at the placeholder rates in the Inputs tab, parity implies a forward near 1.153, materially above the counterparty's quoted F0_in of 1.0875. This gap is carried forward from the Stage 1 memo as an open item — verify the quoted forward before execution rather than treating this check as evidence of a formula error.</t>
  </si>
  <si>
    <t xml:space="preserve">Steps 3–4 — Protective Put &amp; Collar</t>
  </si>
  <si>
    <t xml:space="preserve">Protective put (put purchased) and collar (put purchased + call sold) payoffs across the settlement-spot grid.</t>
  </si>
  <si>
    <t xml:space="preserve">FV_PREM_PUT</t>
  </si>
  <si>
    <t xml:space="preserve">Future value of put premium paid, carried to settlement at R_USD</t>
  </si>
  <si>
    <t xml:space="preserve">-PREM_PUT × FC_AMT × DF_USD</t>
  </si>
  <si>
    <t xml:space="preserve">FV_NET_PREM_COLLAR</t>
  </si>
  <si>
    <t xml:space="preserve">Future value of net premium (call received − put paid), carried to settlement</t>
  </si>
  <si>
    <t xml:space="preserve">(PREM_CALL − PREM_PUT) × FC_AMT × DF_USD</t>
  </si>
  <si>
    <t xml:space="preserve">Settlement-Spot Grid</t>
  </si>
  <si>
    <t xml:space="preserve">Idx</t>
  </si>
  <si>
    <t xml:space="preserve">S_T</t>
  </si>
  <si>
    <t xml:space="preserve">USD_PUT(S_T)</t>
  </si>
  <si>
    <t xml:space="preserve">USD_COLLAR(S_T)</t>
  </si>
  <si>
    <t xml:space="preserve">USD_PUT_BASE</t>
  </si>
  <si>
    <t xml:space="preserve">Protective put proceeds at baseline (S_T = S0_in)</t>
  </si>
  <si>
    <t xml:space="preserve">grid row where Idx=0 (row 15)</t>
  </si>
  <si>
    <t xml:space="preserve">USD_PUT_FLOOR</t>
  </si>
  <si>
    <t xml:space="preserve">Worst-case put proceeds across the grid</t>
  </si>
  <si>
    <t xml:space="preserve">MIN(USD_PUT(S_T) grid)</t>
  </si>
  <si>
    <t xml:space="preserve">USD_COLLAR_BASE</t>
  </si>
  <si>
    <t xml:space="preserve">Collar proceeds at baseline (S_T = S0_in)</t>
  </si>
  <si>
    <t xml:space="preserve">Consolidated Sensitivity — All Strategies</t>
  </si>
  <si>
    <t xml:space="preserve">±5% grid around S0_in, 1% steps (Inputs!STEP_PCT). USD_FWD and USD_MM are constants; USD_PUT and USD_COLLAR link to the Options tab grid.</t>
  </si>
  <si>
    <t xml:space="preserve">Strategy Summary (Base Case, S_T = S0_in)</t>
  </si>
  <si>
    <t xml:space="preserve">Strategy</t>
  </si>
  <si>
    <t xml:space="preserve">Base-Case USD Proceeds</t>
  </si>
  <si>
    <t xml:space="preserve">Hedge Profit vs No Hedge</t>
  </si>
  <si>
    <t xml:space="preserve">No Hedge</t>
  </si>
  <si>
    <t xml:space="preserve">Forward</t>
  </si>
  <si>
    <t xml:space="preserve">Money Market</t>
  </si>
  <si>
    <t xml:space="preserve">Protective Put</t>
  </si>
  <si>
    <t xml:space="preserve">Collar</t>
  </si>
  <si>
    <t xml:space="preserve">Sensitivity Grid &amp; Chart Data</t>
  </si>
  <si>
    <t xml:space="preserve">Profit: Fwd</t>
  </si>
  <si>
    <t xml:space="preserve">Profit: MM</t>
  </si>
  <si>
    <t xml:space="preserve">Profit: Put</t>
  </si>
  <si>
    <t xml:space="preserve">Profit: Collar</t>
  </si>
  <si>
    <t xml:space="preserve">Best (All)</t>
  </si>
  <si>
    <t xml:space="preserve">Best (Active Hedges)</t>
  </si>
  <si>
    <t xml:space="preserve">Notes &amp; Assumptions</t>
  </si>
  <si>
    <t xml:space="preserve">Quote Convention</t>
  </si>
  <si>
    <t xml:space="preserve">All rates are USD per EUR; a higher quote means EUR appreciation.</t>
  </si>
  <si>
    <t xml:space="preserve">Rate Basis</t>
  </si>
  <si>
    <t xml:space="preserve">ACT/360 applied to both legs — DF_USD = 1+R_USD×T_DAYS/360 and DF_FC = 1+R_FC×T_DAYS/360, per spec §4/§5 Step 0. A more rigorous build would split BASIS_USD/BASIS_FC if EUR-side convention differs; flagged rather than built, per scope.</t>
  </si>
  <si>
    <t xml:space="preserve">Horizon</t>
  </si>
  <si>
    <t xml:space="preserve">Single-maturity model, T_DAYS = 365. No partial-year or multi-tranche hedging.</t>
  </si>
  <si>
    <t xml:space="preserve">Parity Expectation</t>
  </si>
  <si>
    <t xml:space="preserve">The money-market hedge is assumed to replicate the forward hedge under covered interest-rate parity. At the placeholder rates, parity implies a forward near 1.153, materially above the counterparty's quoted F0_in of 1.0875. This gap is carried forward from the Stage 1 memo as an open item — verify the quoted forward before execution rather than treating the model's parity check as evidence of a formula error.</t>
  </si>
  <si>
    <t xml:space="preserve">Premium Treatment</t>
  </si>
  <si>
    <t xml:space="preserve">Option premiums are paid (put) or received (call) upfront in USD, quoted per 1 unit of FC, no contract multiplier. Premiums are carried forward to the settlement date at R_USD so they sit on the same footing as settlement-date proceeds.</t>
  </si>
  <si>
    <t xml:space="preserve">Collar Structure</t>
  </si>
  <si>
    <t xml:space="preserve">Both K_PUT and K_CALL are set at spot (S0_in), consistent with the scenario's 'strike at/near spot' instruction. This produces a near-zero-width collar: proceeds are effectively capped and floored at the same level, offset by the net premium (call premium received minus put premium paid).</t>
  </si>
  <si>
    <t xml:space="preserve">Excluded from Base Case</t>
  </si>
  <si>
    <t xml:space="preserve">Transaction costs, bid-ask spreads, counterparty/credit risk, and tax treatment are excluded from this base-case model.</t>
  </si>
  <si>
    <t xml:space="preserve">Scenario Construction</t>
  </si>
  <si>
    <t xml:space="preserve">S_T is varied deterministically on a grid; no probability weighting or implied-volatility distribution is applied.</t>
  </si>
  <si>
    <t xml:space="preserve">Data Sources &amp; Timestamps</t>
  </si>
  <si>
    <t xml:space="preserve">Rates and spot reflect market close near July 20-21, 2026, as cited in the Stage 1 memo; forward and option premiums are the counterparty's quoted deal terms from scenarios.md, Scenario 1. All Inputs-tab values are placeholders pending Stage 4 live data (see the Stage-4 Data Source column on the Inputs tab).</t>
  </si>
  <si>
    <t xml:space="preserve">Open Items Carried Into Stage 3</t>
  </si>
  <si>
    <t xml:space="preserve">1. FC_AMT — CONFIRMED: $4,500,000 today's value / spot (1.14) = €3,947,368.
2. Forward-vs-parity gap — verify the counterparty's quoted forward rather than assuming a model error.
3. Rate basis simplified to single ACT/360 for both legs; revisit if EUR-side convention differs materially at execution.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</si>
</sst>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€#,##0;&quot;(€&quot;#,##0\);\-"/>
    <numFmt numFmtId="166" formatCode="0.0000"/>
    <numFmt numFmtId="167" formatCode="0.00%"/>
    <numFmt numFmtId="168" formatCode="\$0.000"/>
    <numFmt numFmtId="169" formatCode="0"/>
    <numFmt numFmtId="170" formatCode="0.000000"/>
    <numFmt numFmtId="171" formatCode="\$#,##0;&quot;($&quot;#,##0\);\-"/>
    <numFmt numFmtId="172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i val="true"/>
      <sz val="11"/>
      <color rgb="FF666666"/>
      <name val="Arial"/>
      <family val="2"/>
      <charset val="1"/>
    </font>
    <font>
      <i val="true"/>
      <sz val="11"/>
      <color rgb="FF008000"/>
      <name val="Arial"/>
      <family val="0"/>
      <charset val="1"/>
    </font>
    <font>
      <i val="true"/>
      <sz val="11"/>
      <color rgb="FFC00000"/>
      <name val="Arial"/>
      <family val="2"/>
      <charset val="1"/>
    </font>
    <font>
      <b val="true"/>
      <sz val="11"/>
      <color rgb="FF008000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D9D9D9"/>
        <bgColor rgb="FFDDEBF7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Proceeds vs. Settlement Spot (S_T)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Sensitivity!$C$13</c:f>
              <c:strCache>
                <c:ptCount val="1"/>
                <c:pt idx="0">
                  <c:v>No Hedge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Sensitivity!$C$14:$C$24</c:f>
              <c:numCache>
                <c:formatCode>\$#,##0;"($"#,##0\);\-</c:formatCode>
                <c:ptCount val="11"/>
                <c:pt idx="0">
                  <c:v>4274999.544</c:v>
                </c:pt>
                <c:pt idx="1">
                  <c:v>4319999.5392</c:v>
                </c:pt>
                <c:pt idx="2">
                  <c:v>4364999.5344</c:v>
                </c:pt>
                <c:pt idx="3">
                  <c:v>4409999.5296</c:v>
                </c:pt>
                <c:pt idx="4">
                  <c:v>4454999.5248</c:v>
                </c:pt>
                <c:pt idx="5">
                  <c:v>4499999.52</c:v>
                </c:pt>
                <c:pt idx="6">
                  <c:v>4544999.5152</c:v>
                </c:pt>
                <c:pt idx="7">
                  <c:v>4589999.5104</c:v>
                </c:pt>
                <c:pt idx="8">
                  <c:v>4634999.5056</c:v>
                </c:pt>
                <c:pt idx="9">
                  <c:v>4679999.5008</c:v>
                </c:pt>
                <c:pt idx="10">
                  <c:v>4724999.496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Sensitivity!$D$13</c:f>
              <c:strCache>
                <c:ptCount val="1"/>
                <c:pt idx="0">
                  <c:v>Forward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Sensitivity!$D$14:$D$24</c:f>
              <c:numCache>
                <c:formatCode>\$#,##0;"($"#,##0\);\-</c:formatCode>
                <c:ptCount val="11"/>
                <c:pt idx="0">
                  <c:v>4292762.7</c:v>
                </c:pt>
                <c:pt idx="1">
                  <c:v>4292762.7</c:v>
                </c:pt>
                <c:pt idx="2">
                  <c:v>4292762.7</c:v>
                </c:pt>
                <c:pt idx="3">
                  <c:v>4292762.7</c:v>
                </c:pt>
                <c:pt idx="4">
                  <c:v>4292762.7</c:v>
                </c:pt>
                <c:pt idx="5">
                  <c:v>4292762.7</c:v>
                </c:pt>
                <c:pt idx="6">
                  <c:v>4292762.7</c:v>
                </c:pt>
                <c:pt idx="7">
                  <c:v>4292762.7</c:v>
                </c:pt>
                <c:pt idx="8">
                  <c:v>4292762.7</c:v>
                </c:pt>
                <c:pt idx="9">
                  <c:v>4292762.7</c:v>
                </c:pt>
                <c:pt idx="10">
                  <c:v>4292762.7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Sensitivity!$E$13</c:f>
              <c:strCache>
                <c:ptCount val="1"/>
                <c:pt idx="0">
                  <c:v>Money Market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Sensitivity!$E$14:$E$24</c:f>
              <c:numCache>
                <c:formatCode>\$#,##0;"($"#,##0\);\-</c:formatCode>
                <c:ptCount val="11"/>
                <c:pt idx="0">
                  <c:v>4550979.64476033</c:v>
                </c:pt>
                <c:pt idx="1">
                  <c:v>4550979.64476033</c:v>
                </c:pt>
                <c:pt idx="2">
                  <c:v>4550979.64476033</c:v>
                </c:pt>
                <c:pt idx="3">
                  <c:v>4550979.64476033</c:v>
                </c:pt>
                <c:pt idx="4">
                  <c:v>4550979.64476033</c:v>
                </c:pt>
                <c:pt idx="5">
                  <c:v>4550979.64476033</c:v>
                </c:pt>
                <c:pt idx="6">
                  <c:v>4550979.64476033</c:v>
                </c:pt>
                <c:pt idx="7">
                  <c:v>4550979.64476033</c:v>
                </c:pt>
                <c:pt idx="8">
                  <c:v>4550979.64476033</c:v>
                </c:pt>
                <c:pt idx="9">
                  <c:v>4550979.64476033</c:v>
                </c:pt>
                <c:pt idx="10">
                  <c:v>4550979.64476033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Sensitivity!$F$13</c:f>
              <c:strCache>
                <c:ptCount val="1"/>
                <c:pt idx="0">
                  <c:v>Protective Put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Sensitivity!$F$14:$F$24</c:f>
              <c:numCache>
                <c:formatCode>\$#,##0;"($"#,##0\);\-</c:formatCode>
                <c:ptCount val="11"/>
                <c:pt idx="0">
                  <c:v>4438369.67460017</c:v>
                </c:pt>
                <c:pt idx="1">
                  <c:v>4438369.67460017</c:v>
                </c:pt>
                <c:pt idx="2">
                  <c:v>4438369.67460017</c:v>
                </c:pt>
                <c:pt idx="3">
                  <c:v>4438369.67460017</c:v>
                </c:pt>
                <c:pt idx="4">
                  <c:v>4438369.67460017</c:v>
                </c:pt>
                <c:pt idx="5">
                  <c:v>4438369.67460017</c:v>
                </c:pt>
                <c:pt idx="6">
                  <c:v>4483369.66980017</c:v>
                </c:pt>
                <c:pt idx="7">
                  <c:v>4528369.66500017</c:v>
                </c:pt>
                <c:pt idx="8">
                  <c:v>4573369.66020017</c:v>
                </c:pt>
                <c:pt idx="9">
                  <c:v>4618369.65540017</c:v>
                </c:pt>
                <c:pt idx="10">
                  <c:v>4663369.65060017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Sensitivity!$G$13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Sensitivity!$G$14:$G$24</c:f>
              <c:numCache>
                <c:formatCode>\$#,##0;"($"#,##0\);\-</c:formatCode>
                <c:ptCount val="11"/>
                <c:pt idx="0">
                  <c:v>4512325.48907997</c:v>
                </c:pt>
                <c:pt idx="1">
                  <c:v>4512325.48907997</c:v>
                </c:pt>
                <c:pt idx="2">
                  <c:v>4512325.48907997</c:v>
                </c:pt>
                <c:pt idx="3">
                  <c:v>4512325.48907997</c:v>
                </c:pt>
                <c:pt idx="4">
                  <c:v>4512325.48907997</c:v>
                </c:pt>
                <c:pt idx="5">
                  <c:v>4512325.48907997</c:v>
                </c:pt>
                <c:pt idx="6">
                  <c:v>4512325.48907997</c:v>
                </c:pt>
                <c:pt idx="7">
                  <c:v>4512325.48907997</c:v>
                </c:pt>
                <c:pt idx="8">
                  <c:v>4512325.48907997</c:v>
                </c:pt>
                <c:pt idx="9">
                  <c:v>4512325.48907997</c:v>
                </c:pt>
                <c:pt idx="10">
                  <c:v>4512325.48907997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213001"/>
        <c:axId val="63701890"/>
      </c:lineChart>
      <c:catAx>
        <c:axId val="99213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S_T (USD per 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01890"/>
        <c:crosses val="autoZero"/>
        <c:auto val="1"/>
        <c:lblAlgn val="ctr"/>
        <c:lblOffset val="100"/>
        <c:noMultiLvlLbl val="0"/>
      </c:catAx>
      <c:valAx>
        <c:axId val="637018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130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79200</xdr:rowOff>
    </xdr:from>
    <xdr:to>
      <xdr:col>9</xdr:col>
      <xdr:colOff>673920</xdr:colOff>
      <xdr:row>41</xdr:row>
      <xdr:rowOff>58320</xdr:rowOff>
    </xdr:to>
    <xdr:graphicFrame>
      <xdr:nvGraphicFramePr>
        <xdr:cNvPr id="0" name="Chart 1"/>
        <xdr:cNvGraphicFramePr/>
      </xdr:nvGraphicFramePr>
      <xdr:xfrm>
        <a:off x="0" y="4784400"/>
        <a:ext cx="8638560" cy="341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</cols>
  <sheetData>
    <row r="1" customFormat="false" ht="17.25" hidden="false" customHeight="true" outlineLevel="0" collapsed="false">
      <c r="A1" s="2" t="s">
        <v>0</v>
      </c>
      <c r="B1" s="2"/>
    </row>
    <row r="3" customFormat="false" ht="14.25" hidden="false" customHeight="true" outlineLevel="0" collapsed="false">
      <c r="A3" s="3" t="s">
        <v>1</v>
      </c>
      <c r="B3" s="4" t="s">
        <v>2</v>
      </c>
    </row>
    <row r="4" customFormat="false" ht="14.25" hidden="false" customHeight="true" outlineLevel="0" collapsed="false">
      <c r="A4" s="3" t="s">
        <v>3</v>
      </c>
      <c r="B4" s="4" t="s">
        <v>4</v>
      </c>
    </row>
    <row r="5" customFormat="false" ht="14.25" hidden="false" customHeight="true" outlineLevel="0" collapsed="false">
      <c r="A5" s="3" t="s">
        <v>5</v>
      </c>
      <c r="B5" s="4" t="s">
        <v>6</v>
      </c>
    </row>
    <row r="6" customFormat="false" ht="27" hidden="false" customHeight="true" outlineLevel="0" collapsed="false">
      <c r="A6" s="3" t="s">
        <v>7</v>
      </c>
      <c r="B6" s="4" t="s">
        <v>8</v>
      </c>
    </row>
    <row r="7" customFormat="false" ht="14.25" hidden="false" customHeight="true" outlineLevel="0" collapsed="false">
      <c r="A7" s="3" t="s">
        <v>9</v>
      </c>
      <c r="B7" s="4" t="s">
        <v>10</v>
      </c>
    </row>
    <row r="8" customFormat="false" ht="14.25" hidden="false" customHeight="true" outlineLevel="0" collapsed="false">
      <c r="A8" s="3" t="s">
        <v>11</v>
      </c>
      <c r="B8" s="4" t="s">
        <v>12</v>
      </c>
    </row>
    <row r="9" customFormat="false" ht="27" hidden="false" customHeight="true" outlineLevel="0" collapsed="false">
      <c r="A9" s="3" t="s">
        <v>13</v>
      </c>
      <c r="B9" s="4" t="s">
        <v>14</v>
      </c>
    </row>
    <row r="11" customFormat="false" ht="14.25" hidden="false" customHeight="true" outlineLevel="0" collapsed="false">
      <c r="A11" s="3" t="s">
        <v>15</v>
      </c>
    </row>
    <row r="12" customFormat="false" ht="90" hidden="false" customHeight="true" outlineLevel="0" collapsed="false">
      <c r="A12" s="5" t="s">
        <v>16</v>
      </c>
      <c r="B12" s="5"/>
    </row>
    <row r="14" customFormat="false" ht="14.25" hidden="false" customHeight="true" outlineLevel="0" collapsed="false">
      <c r="A14" s="3" t="s">
        <v>17</v>
      </c>
    </row>
    <row r="15" customFormat="false" ht="45" hidden="false" customHeight="true" outlineLevel="0" collapsed="false">
      <c r="A15" s="5" t="s">
        <v>18</v>
      </c>
      <c r="B15" s="5"/>
    </row>
    <row r="17" customFormat="false" ht="14.25" hidden="false" customHeight="true" outlineLevel="0" collapsed="false">
      <c r="A17" s="3" t="s">
        <v>19</v>
      </c>
    </row>
    <row r="18" customFormat="false" ht="30" hidden="false" customHeight="true" outlineLevel="0" collapsed="false">
      <c r="A18" s="5" t="s">
        <v>20</v>
      </c>
      <c r="B18" s="5"/>
    </row>
    <row r="19" customFormat="false" ht="30" hidden="false" customHeight="true" outlineLevel="0" collapsed="false">
      <c r="A19" s="5" t="s">
        <v>21</v>
      </c>
      <c r="B19" s="5"/>
    </row>
    <row r="20" customFormat="false" ht="30" hidden="false" customHeight="true" outlineLevel="0" collapsed="false">
      <c r="A20" s="5" t="s">
        <v>22</v>
      </c>
      <c r="B20" s="5"/>
    </row>
    <row r="21" customFormat="false" ht="30" hidden="false" customHeight="true" outlineLevel="0" collapsed="false">
      <c r="A21" s="5" t="s">
        <v>23</v>
      </c>
      <c r="B21" s="5"/>
    </row>
    <row r="23" customFormat="false" ht="14.25" hidden="false" customHeight="true" outlineLevel="0" collapsed="false">
      <c r="A23" s="6" t="s">
        <v>24</v>
      </c>
    </row>
    <row r="24" customFormat="false" ht="30" hidden="false" customHeight="true" outlineLevel="0" collapsed="false">
      <c r="A24" s="5" t="s">
        <v>25</v>
      </c>
      <c r="B24" s="5"/>
    </row>
    <row r="25" customFormat="false" ht="30" hidden="false" customHeight="true" outlineLevel="0" collapsed="false">
      <c r="A25" s="5" t="s">
        <v>26</v>
      </c>
      <c r="B25" s="5"/>
    </row>
    <row r="26" customFormat="false" ht="30" hidden="false" customHeight="true" outlineLevel="0" collapsed="false">
      <c r="A26" s="5" t="s">
        <v>27</v>
      </c>
      <c r="B26" s="5"/>
    </row>
  </sheetData>
  <mergeCells count="10">
    <mergeCell ref="A1:B1"/>
    <mergeCell ref="A12:B12"/>
    <mergeCell ref="A15:B15"/>
    <mergeCell ref="A18:B18"/>
    <mergeCell ref="A19:B19"/>
    <mergeCell ref="A20:B20"/>
    <mergeCell ref="A21:B21"/>
    <mergeCell ref="A24:B24"/>
    <mergeCell ref="A25:B25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0"/>
  </cols>
  <sheetData>
    <row r="1" customFormat="false" ht="17.25" hidden="false" customHeight="true" outlineLevel="0" collapsed="false">
      <c r="A1" s="2" t="s">
        <v>28</v>
      </c>
      <c r="B1" s="2"/>
    </row>
    <row r="3" customFormat="false" ht="14.25" hidden="false" customHeight="true" outlineLevel="0" collapsed="false">
      <c r="A3" s="7" t="s">
        <v>29</v>
      </c>
      <c r="B3" s="7" t="s">
        <v>30</v>
      </c>
    </row>
    <row r="4" customFormat="false" ht="30" hidden="false" customHeight="true" outlineLevel="0" collapsed="false">
      <c r="A4" s="8" t="s">
        <v>31</v>
      </c>
      <c r="B4" s="9" t="s">
        <v>32</v>
      </c>
    </row>
    <row r="5" customFormat="false" ht="30" hidden="false" customHeight="true" outlineLevel="0" collapsed="false">
      <c r="A5" s="10" t="s">
        <v>33</v>
      </c>
      <c r="B5" s="9" t="s">
        <v>34</v>
      </c>
    </row>
    <row r="6" customFormat="false" ht="30" hidden="false" customHeight="true" outlineLevel="0" collapsed="false">
      <c r="A6" s="11" t="s">
        <v>35</v>
      </c>
      <c r="B6" s="9" t="s">
        <v>36</v>
      </c>
    </row>
    <row r="7" customFormat="false" ht="30" hidden="false" customHeight="true" outlineLevel="0" collapsed="false">
      <c r="A7" s="12" t="s">
        <v>37</v>
      </c>
      <c r="B7" s="9" t="s">
        <v>38</v>
      </c>
    </row>
    <row r="9" customFormat="false" ht="14.25" hidden="false" customHeight="true" outlineLevel="0" collapsed="false">
      <c r="A9" s="1" t="s">
        <v>39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44"/>
  </cols>
  <sheetData>
    <row r="1" customFormat="false" ht="17.25" hidden="false" customHeight="true" outlineLevel="0" collapsed="false">
      <c r="A1" s="2" t="s">
        <v>40</v>
      </c>
      <c r="B1" s="2"/>
      <c r="C1" s="2"/>
      <c r="D1" s="2"/>
      <c r="E1" s="2"/>
    </row>
    <row r="2" customFormat="false" ht="30" hidden="false" customHeight="true" outlineLevel="0" collapsed="false">
      <c r="A2" s="13" t="s">
        <v>41</v>
      </c>
      <c r="B2" s="13"/>
      <c r="C2" s="13"/>
      <c r="D2" s="13"/>
      <c r="E2" s="13"/>
    </row>
    <row r="4" customFormat="false" ht="27" hidden="false" customHeight="true" outlineLevel="0" collapsed="false">
      <c r="A4" s="7" t="s">
        <v>42</v>
      </c>
      <c r="B4" s="7" t="s">
        <v>43</v>
      </c>
      <c r="C4" s="7" t="s">
        <v>44</v>
      </c>
      <c r="D4" s="7" t="s">
        <v>45</v>
      </c>
      <c r="E4" s="7" t="s">
        <v>46</v>
      </c>
    </row>
    <row r="5" customFormat="false" ht="28.5" hidden="false" customHeight="true" outlineLevel="0" collapsed="false">
      <c r="A5" s="14" t="s">
        <v>47</v>
      </c>
      <c r="B5" s="9" t="s">
        <v>48</v>
      </c>
      <c r="C5" s="15" t="s">
        <v>49</v>
      </c>
      <c r="D5" s="16" t="n">
        <v>3947368</v>
      </c>
      <c r="E5" s="9" t="s">
        <v>50</v>
      </c>
    </row>
    <row r="6" customFormat="false" ht="28.5" hidden="false" customHeight="true" outlineLevel="0" collapsed="false">
      <c r="A6" s="14" t="s">
        <v>51</v>
      </c>
      <c r="B6" s="9" t="s">
        <v>52</v>
      </c>
      <c r="C6" s="15" t="s">
        <v>53</v>
      </c>
      <c r="D6" s="17" t="n">
        <v>1.14</v>
      </c>
      <c r="E6" s="9" t="s">
        <v>54</v>
      </c>
    </row>
    <row r="7" customFormat="false" ht="14.25" hidden="false" customHeight="true" outlineLevel="0" collapsed="false">
      <c r="A7" s="14" t="s">
        <v>55</v>
      </c>
      <c r="B7" s="9" t="s">
        <v>56</v>
      </c>
      <c r="C7" s="15" t="s">
        <v>53</v>
      </c>
      <c r="D7" s="17" t="n">
        <v>1.0875</v>
      </c>
      <c r="E7" s="9" t="s">
        <v>57</v>
      </c>
    </row>
    <row r="8" customFormat="false" ht="28.5" hidden="false" customHeight="true" outlineLevel="0" collapsed="false">
      <c r="A8" s="14" t="s">
        <v>58</v>
      </c>
      <c r="B8" s="9" t="s">
        <v>59</v>
      </c>
      <c r="C8" s="15" t="s">
        <v>60</v>
      </c>
      <c r="D8" s="18" t="n">
        <v>0.0403</v>
      </c>
      <c r="E8" s="9" t="s">
        <v>61</v>
      </c>
    </row>
    <row r="9" customFormat="false" ht="14.25" hidden="false" customHeight="true" outlineLevel="0" collapsed="false">
      <c r="A9" s="14" t="s">
        <v>62</v>
      </c>
      <c r="B9" s="9" t="s">
        <v>63</v>
      </c>
      <c r="C9" s="15" t="s">
        <v>60</v>
      </c>
      <c r="D9" s="18" t="n">
        <v>0.0288</v>
      </c>
      <c r="E9" s="9" t="s">
        <v>64</v>
      </c>
    </row>
    <row r="10" customFormat="false" ht="14.25" hidden="false" customHeight="true" outlineLevel="0" collapsed="false">
      <c r="A10" s="14" t="s">
        <v>65</v>
      </c>
      <c r="B10" s="9" t="s">
        <v>66</v>
      </c>
      <c r="C10" s="15" t="s">
        <v>53</v>
      </c>
      <c r="D10" s="17" t="n">
        <v>1.14</v>
      </c>
      <c r="E10" s="9" t="s">
        <v>67</v>
      </c>
    </row>
    <row r="11" customFormat="false" ht="14.25" hidden="false" customHeight="true" outlineLevel="0" collapsed="false">
      <c r="A11" s="14" t="s">
        <v>68</v>
      </c>
      <c r="B11" s="9" t="s">
        <v>69</v>
      </c>
      <c r="C11" s="15" t="s">
        <v>53</v>
      </c>
      <c r="D11" s="17" t="n">
        <v>1.14</v>
      </c>
      <c r="E11" s="9" t="s">
        <v>67</v>
      </c>
    </row>
    <row r="12" customFormat="false" ht="14.25" hidden="false" customHeight="true" outlineLevel="0" collapsed="false">
      <c r="A12" s="14" t="s">
        <v>70</v>
      </c>
      <c r="B12" s="9" t="s">
        <v>71</v>
      </c>
      <c r="C12" s="15" t="s">
        <v>72</v>
      </c>
      <c r="D12" s="19" t="n">
        <v>0.015</v>
      </c>
      <c r="E12" s="9" t="s">
        <v>73</v>
      </c>
    </row>
    <row r="13" customFormat="false" ht="14.25" hidden="false" customHeight="true" outlineLevel="0" collapsed="false">
      <c r="A13" s="14" t="s">
        <v>74</v>
      </c>
      <c r="B13" s="9" t="s">
        <v>75</v>
      </c>
      <c r="C13" s="15" t="s">
        <v>72</v>
      </c>
      <c r="D13" s="19" t="n">
        <v>0.018</v>
      </c>
      <c r="E13" s="9" t="s">
        <v>73</v>
      </c>
    </row>
    <row r="14" customFormat="false" ht="57" hidden="false" customHeight="true" outlineLevel="0" collapsed="false">
      <c r="A14" s="14" t="s">
        <v>76</v>
      </c>
      <c r="B14" s="9" t="s">
        <v>77</v>
      </c>
      <c r="C14" s="15" t="s">
        <v>78</v>
      </c>
      <c r="D14" s="20" t="n">
        <v>365</v>
      </c>
      <c r="E14" s="9" t="s">
        <v>79</v>
      </c>
    </row>
    <row r="16" customFormat="false" ht="14.25" hidden="false" customHeight="true" outlineLevel="0" collapsed="false">
      <c r="A16" s="3" t="s">
        <v>80</v>
      </c>
    </row>
    <row r="17" customFormat="false" ht="27" hidden="false" customHeight="true" outlineLevel="0" collapsed="false">
      <c r="A17" s="7" t="s">
        <v>42</v>
      </c>
      <c r="B17" s="7" t="s">
        <v>43</v>
      </c>
      <c r="C17" s="7" t="s">
        <v>44</v>
      </c>
      <c r="D17" s="7" t="s">
        <v>45</v>
      </c>
      <c r="E17" s="7" t="s">
        <v>81</v>
      </c>
    </row>
    <row r="18" customFormat="false" ht="14.25" hidden="false" customHeight="true" outlineLevel="0" collapsed="false">
      <c r="A18" s="14" t="s">
        <v>82</v>
      </c>
      <c r="B18" s="15" t="s">
        <v>83</v>
      </c>
      <c r="C18" s="15" t="s">
        <v>84</v>
      </c>
      <c r="D18" s="21" t="n">
        <f aca="false">1+R_USD*T_DAYS/360</f>
        <v>1.04085972222222</v>
      </c>
      <c r="E18" s="22" t="s">
        <v>85</v>
      </c>
    </row>
    <row r="19" customFormat="false" ht="14.25" hidden="false" customHeight="true" outlineLevel="0" collapsed="false">
      <c r="A19" s="14" t="s">
        <v>86</v>
      </c>
      <c r="B19" s="15" t="s">
        <v>87</v>
      </c>
      <c r="C19" s="15" t="s">
        <v>84</v>
      </c>
      <c r="D19" s="21" t="n">
        <f aca="false">1+R_FC*T_DAYS/360</f>
        <v>1.0292</v>
      </c>
      <c r="E19" s="22" t="s">
        <v>88</v>
      </c>
    </row>
    <row r="21" customFormat="false" ht="14.25" hidden="false" customHeight="true" outlineLevel="0" collapsed="false">
      <c r="A21" s="3" t="s">
        <v>89</v>
      </c>
    </row>
    <row r="22" customFormat="false" ht="27" hidden="false" customHeight="true" outlineLevel="0" collapsed="false">
      <c r="A22" s="7" t="s">
        <v>42</v>
      </c>
      <c r="B22" s="7" t="s">
        <v>43</v>
      </c>
      <c r="C22" s="7" t="s">
        <v>44</v>
      </c>
      <c r="D22" s="7" t="s">
        <v>45</v>
      </c>
      <c r="E22" s="7" t="s">
        <v>90</v>
      </c>
    </row>
    <row r="23" customFormat="false" ht="28.5" hidden="false" customHeight="true" outlineLevel="0" collapsed="false">
      <c r="A23" s="14" t="s">
        <v>91</v>
      </c>
      <c r="B23" s="15" t="s">
        <v>92</v>
      </c>
      <c r="C23" s="15" t="s">
        <v>93</v>
      </c>
      <c r="D23" s="23" t="n">
        <v>0.01</v>
      </c>
      <c r="E23" s="9" t="s">
        <v>94</v>
      </c>
    </row>
    <row r="25" customFormat="false" ht="45" hidden="false" customHeight="true" outlineLevel="0" collapsed="false">
      <c r="A25" s="24" t="s">
        <v>95</v>
      </c>
      <c r="B25" s="24"/>
      <c r="C25" s="24"/>
      <c r="D25" s="24"/>
      <c r="E25" s="24"/>
    </row>
  </sheetData>
  <mergeCells count="3">
    <mergeCell ref="A1:E1"/>
    <mergeCell ref="A2:E2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96</v>
      </c>
      <c r="B1" s="2"/>
      <c r="C1" s="2"/>
      <c r="D1" s="2"/>
    </row>
    <row r="2" customFormat="false" ht="14.25" hidden="false" customHeight="true" outlineLevel="0" collapsed="false">
      <c r="A2" s="25" t="s">
        <v>97</v>
      </c>
      <c r="B2" s="25"/>
      <c r="C2" s="25"/>
      <c r="D2" s="25"/>
    </row>
    <row r="4" customFormat="false" ht="14.25" hidden="false" customHeight="true" outlineLevel="0" collapsed="false">
      <c r="A4" s="7" t="s">
        <v>42</v>
      </c>
      <c r="B4" s="7" t="s">
        <v>43</v>
      </c>
      <c r="C4" s="7" t="s">
        <v>45</v>
      </c>
      <c r="D4" s="7" t="s">
        <v>81</v>
      </c>
    </row>
    <row r="5" customFormat="false" ht="14.25" hidden="false" customHeight="true" outlineLevel="0" collapsed="false">
      <c r="A5" s="14" t="s">
        <v>98</v>
      </c>
      <c r="B5" s="15" t="s">
        <v>99</v>
      </c>
      <c r="C5" s="26" t="n">
        <f aca="false">FC_AMT*F0_in</f>
        <v>4292762.7</v>
      </c>
      <c r="D5" s="22" t="s">
        <v>100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55"/>
  </cols>
  <sheetData>
    <row r="1" customFormat="false" ht="17.25" hidden="false" customHeight="true" outlineLevel="0" collapsed="false">
      <c r="A1" s="2" t="s">
        <v>101</v>
      </c>
      <c r="B1" s="2"/>
      <c r="C1" s="2"/>
      <c r="D1" s="2"/>
    </row>
    <row r="2" customFormat="false" ht="27.75" hidden="false" customHeight="true" outlineLevel="0" collapsed="false">
      <c r="A2" s="13" t="s">
        <v>102</v>
      </c>
      <c r="B2" s="13"/>
      <c r="C2" s="13"/>
      <c r="D2" s="13"/>
    </row>
    <row r="4" customFormat="false" ht="14.25" hidden="false" customHeight="true" outlineLevel="0" collapsed="false">
      <c r="A4" s="7" t="s">
        <v>42</v>
      </c>
      <c r="B4" s="7" t="s">
        <v>43</v>
      </c>
      <c r="C4" s="7" t="s">
        <v>45</v>
      </c>
      <c r="D4" s="7" t="s">
        <v>81</v>
      </c>
    </row>
    <row r="5" customFormat="false" ht="14.25" hidden="false" customHeight="true" outlineLevel="0" collapsed="false">
      <c r="A5" s="14" t="s">
        <v>103</v>
      </c>
      <c r="B5" s="15" t="s">
        <v>104</v>
      </c>
      <c r="C5" s="27" t="n">
        <f aca="false">FC_AMT/DF_FC</f>
        <v>3835375.04858142</v>
      </c>
      <c r="D5" s="22" t="s">
        <v>105</v>
      </c>
    </row>
    <row r="6" customFormat="false" ht="14.25" hidden="false" customHeight="true" outlineLevel="0" collapsed="false">
      <c r="A6" s="14" t="s">
        <v>106</v>
      </c>
      <c r="B6" s="15" t="s">
        <v>107</v>
      </c>
      <c r="C6" s="26" t="n">
        <f aca="false">BORROW_EUR*S0_in</f>
        <v>4372327.55538282</v>
      </c>
      <c r="D6" s="22" t="s">
        <v>108</v>
      </c>
    </row>
    <row r="7" customFormat="false" ht="14.25" hidden="false" customHeight="true" outlineLevel="0" collapsed="false">
      <c r="A7" s="14" t="s">
        <v>109</v>
      </c>
      <c r="B7" s="15" t="s">
        <v>110</v>
      </c>
      <c r="C7" s="26" t="n">
        <f aca="false">USD_NOW*DF_USD</f>
        <v>4550979.64476033</v>
      </c>
      <c r="D7" s="22" t="s">
        <v>111</v>
      </c>
    </row>
    <row r="9" customFormat="false" ht="14.25" hidden="false" customHeight="true" outlineLevel="0" collapsed="false">
      <c r="A9" s="3" t="s">
        <v>112</v>
      </c>
    </row>
    <row r="10" customFormat="false" ht="14.25" hidden="false" customHeight="true" outlineLevel="0" collapsed="false">
      <c r="A10" s="7" t="s">
        <v>42</v>
      </c>
      <c r="B10" s="7" t="s">
        <v>43</v>
      </c>
      <c r="C10" s="7" t="s">
        <v>45</v>
      </c>
      <c r="D10" s="7" t="s">
        <v>81</v>
      </c>
    </row>
    <row r="11" customFormat="false" ht="14.25" hidden="false" customHeight="true" outlineLevel="0" collapsed="false">
      <c r="A11" s="14" t="s">
        <v>113</v>
      </c>
      <c r="B11" s="15" t="s">
        <v>114</v>
      </c>
      <c r="C11" s="28" t="n">
        <f aca="false">S0_in*DF_USD/DF_FC</f>
        <v>1.15291496631688</v>
      </c>
      <c r="D11" s="22" t="s">
        <v>115</v>
      </c>
    </row>
    <row r="12" customFormat="false" ht="14.25" hidden="false" customHeight="true" outlineLevel="0" collapsed="false">
      <c r="A12" s="14" t="s">
        <v>116</v>
      </c>
      <c r="B12" s="15" t="s">
        <v>117</v>
      </c>
      <c r="C12" s="28" t="n">
        <f aca="false">F_IMPLIED-F0_in</f>
        <v>0.0654149663168806</v>
      </c>
      <c r="D12" s="15"/>
    </row>
    <row r="14" customFormat="false" ht="60" hidden="false" customHeight="true" outlineLevel="0" collapsed="false">
      <c r="A14" s="29" t="s">
        <v>118</v>
      </c>
      <c r="B14" s="29"/>
      <c r="C14" s="29"/>
      <c r="D14" s="29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6" min="3" style="1" width="18"/>
  </cols>
  <sheetData>
    <row r="1" customFormat="false" ht="17.25" hidden="false" customHeight="true" outlineLevel="0" collapsed="false">
      <c r="A1" s="2" t="s">
        <v>119</v>
      </c>
      <c r="B1" s="2"/>
      <c r="C1" s="2"/>
      <c r="D1" s="2"/>
      <c r="E1" s="2"/>
      <c r="F1" s="2"/>
    </row>
    <row r="2" customFormat="false" ht="14.25" hidden="false" customHeight="true" outlineLevel="0" collapsed="false">
      <c r="A2" s="25" t="s">
        <v>120</v>
      </c>
      <c r="B2" s="25"/>
      <c r="C2" s="25"/>
      <c r="D2" s="25"/>
      <c r="E2" s="25"/>
      <c r="F2" s="25"/>
    </row>
    <row r="4" customFormat="false" ht="27" hidden="false" customHeight="true" outlineLevel="0" collapsed="false">
      <c r="A4" s="7" t="s">
        <v>42</v>
      </c>
      <c r="B4" s="7" t="s">
        <v>43</v>
      </c>
      <c r="C4" s="7" t="s">
        <v>45</v>
      </c>
      <c r="D4" s="7" t="s">
        <v>81</v>
      </c>
    </row>
    <row r="5" customFormat="false" ht="14.25" hidden="false" customHeight="true" outlineLevel="0" collapsed="false">
      <c r="A5" s="14" t="s">
        <v>121</v>
      </c>
      <c r="B5" s="15" t="s">
        <v>122</v>
      </c>
      <c r="C5" s="26" t="n">
        <f aca="false">-PREM_PUT*FC_AMT*DF_USD</f>
        <v>-61629.8453998333</v>
      </c>
      <c r="D5" s="22" t="s">
        <v>123</v>
      </c>
    </row>
    <row r="6" customFormat="false" ht="14.25" hidden="false" customHeight="true" outlineLevel="0" collapsed="false">
      <c r="A6" s="14" t="s">
        <v>124</v>
      </c>
      <c r="B6" s="15" t="s">
        <v>125</v>
      </c>
      <c r="C6" s="26" t="n">
        <f aca="false">(PREM_CALL-PREM_PUT)*FC_AMT*DF_USD</f>
        <v>12325.9690799667</v>
      </c>
      <c r="D6" s="22" t="s">
        <v>126</v>
      </c>
    </row>
    <row r="8" customFormat="false" ht="14.25" hidden="false" customHeight="true" outlineLevel="0" collapsed="false">
      <c r="A8" s="3" t="s">
        <v>127</v>
      </c>
    </row>
    <row r="9" customFormat="false" ht="27" hidden="false" customHeight="true" outlineLevel="0" collapsed="false">
      <c r="A9" s="7" t="s">
        <v>128</v>
      </c>
      <c r="B9" s="7" t="s">
        <v>129</v>
      </c>
      <c r="C9" s="7" t="s">
        <v>130</v>
      </c>
      <c r="D9" s="7" t="s">
        <v>131</v>
      </c>
    </row>
    <row r="10" customFormat="false" ht="14.25" hidden="false" customHeight="true" outlineLevel="0" collapsed="false">
      <c r="A10" s="30" t="n">
        <v>-5</v>
      </c>
      <c r="B10" s="28" t="n">
        <f aca="false">S0_in*(1+A10*STEP_PCT)</f>
        <v>1.083</v>
      </c>
      <c r="C10" s="26" t="n">
        <f aca="false">MAX(B10,K_PUT)*FC_AMT+FV_PREM_PUT</f>
        <v>4438369.67460017</v>
      </c>
      <c r="D10" s="26" t="n">
        <f aca="false">MIN(MAX(B10,K_PUT),K_CALL)*FC_AMT+FV_NET_PREM_COLLAR</f>
        <v>4512325.48907997</v>
      </c>
    </row>
    <row r="11" customFormat="false" ht="14.25" hidden="false" customHeight="true" outlineLevel="0" collapsed="false">
      <c r="A11" s="30" t="n">
        <v>-4</v>
      </c>
      <c r="B11" s="28" t="n">
        <f aca="false">S0_in*(1+A11*STEP_PCT)</f>
        <v>1.0944</v>
      </c>
      <c r="C11" s="26" t="n">
        <f aca="false">MAX(B11,K_PUT)*FC_AMT+FV_PREM_PUT</f>
        <v>4438369.67460017</v>
      </c>
      <c r="D11" s="26" t="n">
        <f aca="false">MIN(MAX(B11,K_PUT),K_CALL)*FC_AMT+FV_NET_PREM_COLLAR</f>
        <v>4512325.48907997</v>
      </c>
    </row>
    <row r="12" customFormat="false" ht="14.25" hidden="false" customHeight="true" outlineLevel="0" collapsed="false">
      <c r="A12" s="30" t="n">
        <v>-3</v>
      </c>
      <c r="B12" s="28" t="n">
        <f aca="false">S0_in*(1+A12*STEP_PCT)</f>
        <v>1.1058</v>
      </c>
      <c r="C12" s="26" t="n">
        <f aca="false">MAX(B12,K_PUT)*FC_AMT+FV_PREM_PUT</f>
        <v>4438369.67460017</v>
      </c>
      <c r="D12" s="26" t="n">
        <f aca="false">MIN(MAX(B12,K_PUT),K_CALL)*FC_AMT+FV_NET_PREM_COLLAR</f>
        <v>4512325.48907997</v>
      </c>
    </row>
    <row r="13" customFormat="false" ht="14.25" hidden="false" customHeight="true" outlineLevel="0" collapsed="false">
      <c r="A13" s="30" t="n">
        <v>-2</v>
      </c>
      <c r="B13" s="28" t="n">
        <f aca="false">S0_in*(1+A13*STEP_PCT)</f>
        <v>1.1172</v>
      </c>
      <c r="C13" s="26" t="n">
        <f aca="false">MAX(B13,K_PUT)*FC_AMT+FV_PREM_PUT</f>
        <v>4438369.67460017</v>
      </c>
      <c r="D13" s="26" t="n">
        <f aca="false">MIN(MAX(B13,K_PUT),K_CALL)*FC_AMT+FV_NET_PREM_COLLAR</f>
        <v>4512325.48907997</v>
      </c>
    </row>
    <row r="14" customFormat="false" ht="14.25" hidden="false" customHeight="true" outlineLevel="0" collapsed="false">
      <c r="A14" s="30" t="n">
        <v>-1</v>
      </c>
      <c r="B14" s="28" t="n">
        <f aca="false">S0_in*(1+A14*STEP_PCT)</f>
        <v>1.1286</v>
      </c>
      <c r="C14" s="26" t="n">
        <f aca="false">MAX(B14,K_PUT)*FC_AMT+FV_PREM_PUT</f>
        <v>4438369.67460017</v>
      </c>
      <c r="D14" s="26" t="n">
        <f aca="false">MIN(MAX(B14,K_PUT),K_CALL)*FC_AMT+FV_NET_PREM_COLLAR</f>
        <v>4512325.48907997</v>
      </c>
    </row>
    <row r="15" customFormat="false" ht="14.25" hidden="false" customHeight="true" outlineLevel="0" collapsed="false">
      <c r="A15" s="30" t="n">
        <v>0</v>
      </c>
      <c r="B15" s="28" t="n">
        <f aca="false">S0_in*(1+A15*STEP_PCT)</f>
        <v>1.14</v>
      </c>
      <c r="C15" s="26" t="n">
        <f aca="false">MAX(B15,K_PUT)*FC_AMT+FV_PREM_PUT</f>
        <v>4438369.67460017</v>
      </c>
      <c r="D15" s="26" t="n">
        <f aca="false">MIN(MAX(B15,K_PUT),K_CALL)*FC_AMT+FV_NET_PREM_COLLAR</f>
        <v>4512325.48907997</v>
      </c>
    </row>
    <row r="16" customFormat="false" ht="14.25" hidden="false" customHeight="true" outlineLevel="0" collapsed="false">
      <c r="A16" s="30" t="n">
        <v>1</v>
      </c>
      <c r="B16" s="28" t="n">
        <f aca="false">S0_in*(1+A16*STEP_PCT)</f>
        <v>1.1514</v>
      </c>
      <c r="C16" s="26" t="n">
        <f aca="false">MAX(B16,K_PUT)*FC_AMT+FV_PREM_PUT</f>
        <v>4483369.66980017</v>
      </c>
      <c r="D16" s="26" t="n">
        <f aca="false">MIN(MAX(B16,K_PUT),K_CALL)*FC_AMT+FV_NET_PREM_COLLAR</f>
        <v>4512325.48907997</v>
      </c>
    </row>
    <row r="17" customFormat="false" ht="14.25" hidden="false" customHeight="true" outlineLevel="0" collapsed="false">
      <c r="A17" s="30" t="n">
        <v>2</v>
      </c>
      <c r="B17" s="28" t="n">
        <f aca="false">S0_in*(1+A17*STEP_PCT)</f>
        <v>1.1628</v>
      </c>
      <c r="C17" s="26" t="n">
        <f aca="false">MAX(B17,K_PUT)*FC_AMT+FV_PREM_PUT</f>
        <v>4528369.66500017</v>
      </c>
      <c r="D17" s="26" t="n">
        <f aca="false">MIN(MAX(B17,K_PUT),K_CALL)*FC_AMT+FV_NET_PREM_COLLAR</f>
        <v>4512325.48907997</v>
      </c>
    </row>
    <row r="18" customFormat="false" ht="14.25" hidden="false" customHeight="true" outlineLevel="0" collapsed="false">
      <c r="A18" s="30" t="n">
        <v>3</v>
      </c>
      <c r="B18" s="28" t="n">
        <f aca="false">S0_in*(1+A18*STEP_PCT)</f>
        <v>1.1742</v>
      </c>
      <c r="C18" s="26" t="n">
        <f aca="false">MAX(B18,K_PUT)*FC_AMT+FV_PREM_PUT</f>
        <v>4573369.66020017</v>
      </c>
      <c r="D18" s="26" t="n">
        <f aca="false">MIN(MAX(B18,K_PUT),K_CALL)*FC_AMT+FV_NET_PREM_COLLAR</f>
        <v>4512325.48907997</v>
      </c>
    </row>
    <row r="19" customFormat="false" ht="14.25" hidden="false" customHeight="true" outlineLevel="0" collapsed="false">
      <c r="A19" s="30" t="n">
        <v>4</v>
      </c>
      <c r="B19" s="28" t="n">
        <f aca="false">S0_in*(1+A19*STEP_PCT)</f>
        <v>1.1856</v>
      </c>
      <c r="C19" s="26" t="n">
        <f aca="false">MAX(B19,K_PUT)*FC_AMT+FV_PREM_PUT</f>
        <v>4618369.65540017</v>
      </c>
      <c r="D19" s="26" t="n">
        <f aca="false">MIN(MAX(B19,K_PUT),K_CALL)*FC_AMT+FV_NET_PREM_COLLAR</f>
        <v>4512325.48907997</v>
      </c>
    </row>
    <row r="20" customFormat="false" ht="14.25" hidden="false" customHeight="true" outlineLevel="0" collapsed="false">
      <c r="A20" s="30" t="n">
        <v>5</v>
      </c>
      <c r="B20" s="28" t="n">
        <f aca="false">S0_in*(1+A20*STEP_PCT)</f>
        <v>1.197</v>
      </c>
      <c r="C20" s="26" t="n">
        <f aca="false">MAX(B20,K_PUT)*FC_AMT+FV_PREM_PUT</f>
        <v>4663369.65060017</v>
      </c>
      <c r="D20" s="26" t="n">
        <f aca="false">MIN(MAX(B20,K_PUT),K_CALL)*FC_AMT+FV_NET_PREM_COLLAR</f>
        <v>4512325.48907997</v>
      </c>
    </row>
    <row r="22" customFormat="false" ht="27" hidden="false" customHeight="true" outlineLevel="0" collapsed="false">
      <c r="A22" s="7" t="s">
        <v>42</v>
      </c>
      <c r="B22" s="7" t="s">
        <v>43</v>
      </c>
      <c r="C22" s="7" t="s">
        <v>45</v>
      </c>
      <c r="D22" s="7" t="s">
        <v>81</v>
      </c>
    </row>
    <row r="23" customFormat="false" ht="14.25" hidden="false" customHeight="true" outlineLevel="0" collapsed="false">
      <c r="A23" s="14" t="s">
        <v>132</v>
      </c>
      <c r="B23" s="15" t="s">
        <v>133</v>
      </c>
      <c r="C23" s="26" t="n">
        <f aca="false">C15</f>
        <v>4438369.67460017</v>
      </c>
      <c r="D23" s="22" t="s">
        <v>134</v>
      </c>
    </row>
    <row r="24" customFormat="false" ht="14.25" hidden="false" customHeight="true" outlineLevel="0" collapsed="false">
      <c r="A24" s="14" t="s">
        <v>135</v>
      </c>
      <c r="B24" s="15" t="s">
        <v>136</v>
      </c>
      <c r="C24" s="26" t="n">
        <f aca="false">MIN(C10:C20)</f>
        <v>4438369.67460017</v>
      </c>
      <c r="D24" s="22" t="s">
        <v>137</v>
      </c>
    </row>
    <row r="25" customFormat="false" ht="14.25" hidden="false" customHeight="true" outlineLevel="0" collapsed="false">
      <c r="A25" s="14" t="s">
        <v>138</v>
      </c>
      <c r="B25" s="15" t="s">
        <v>139</v>
      </c>
      <c r="C25" s="26" t="n">
        <f aca="false">D15</f>
        <v>4512325.48907997</v>
      </c>
      <c r="D25" s="22" t="s">
        <v>134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"/>
    <col collapsed="false" customWidth="true" hidden="false" outlineLevel="0" max="7" min="3" style="1" width="14"/>
    <col collapsed="false" customWidth="true" hidden="false" outlineLevel="0" max="11" min="8" style="1" width="13"/>
    <col collapsed="false" customWidth="true" hidden="false" outlineLevel="0" max="12" min="12" style="1" width="14"/>
    <col collapsed="false" customWidth="true" hidden="false" outlineLevel="0" max="13" min="13" style="1" width="16"/>
  </cols>
  <sheetData>
    <row r="1" customFormat="false" ht="17.25" hidden="false" customHeight="true" outlineLevel="0" collapsed="false">
      <c r="A1" s="2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13" t="s">
        <v>141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customFormat="false" ht="14.25" hidden="false" customHeight="true" outlineLevel="0" collapsed="false">
      <c r="A4" s="3" t="s">
        <v>142</v>
      </c>
    </row>
    <row r="5" customFormat="false" ht="54.75" hidden="false" customHeight="true" outlineLevel="0" collapsed="false">
      <c r="A5" s="7" t="s">
        <v>143</v>
      </c>
      <c r="B5" s="7" t="s">
        <v>144</v>
      </c>
      <c r="C5" s="7" t="s">
        <v>145</v>
      </c>
    </row>
    <row r="6" customFormat="false" ht="14.25" hidden="false" customHeight="true" outlineLevel="0" collapsed="false">
      <c r="A6" s="14" t="s">
        <v>146</v>
      </c>
      <c r="B6" s="26" t="n">
        <f aca="false">FC_AMT*S0_in</f>
        <v>4499999.52</v>
      </c>
      <c r="C6" s="26" t="n">
        <v>0</v>
      </c>
    </row>
    <row r="7" customFormat="false" ht="14.25" hidden="false" customHeight="true" outlineLevel="0" collapsed="false">
      <c r="A7" s="14" t="s">
        <v>147</v>
      </c>
      <c r="B7" s="31" t="n">
        <f aca="false">USD_FWD</f>
        <v>4292762.7</v>
      </c>
      <c r="C7" s="26" t="n">
        <f aca="false">B7-B6</f>
        <v>-207236.82</v>
      </c>
    </row>
    <row r="8" customFormat="false" ht="14.25" hidden="false" customHeight="true" outlineLevel="0" collapsed="false">
      <c r="A8" s="14" t="s">
        <v>148</v>
      </c>
      <c r="B8" s="31" t="n">
        <f aca="false">USD_MM</f>
        <v>4550979.64476033</v>
      </c>
      <c r="C8" s="26" t="n">
        <f aca="false">B8-B6</f>
        <v>50980.1247603325</v>
      </c>
    </row>
    <row r="9" customFormat="false" ht="14.25" hidden="false" customHeight="true" outlineLevel="0" collapsed="false">
      <c r="A9" s="14" t="s">
        <v>149</v>
      </c>
      <c r="B9" s="31" t="n">
        <f aca="false">USD_PUT_BASE</f>
        <v>4438369.67460017</v>
      </c>
      <c r="C9" s="26" t="n">
        <f aca="false">B9-B6</f>
        <v>-61629.8453998333</v>
      </c>
    </row>
    <row r="10" customFormat="false" ht="14.25" hidden="false" customHeight="true" outlineLevel="0" collapsed="false">
      <c r="A10" s="14" t="s">
        <v>150</v>
      </c>
      <c r="B10" s="31" t="n">
        <f aca="false">USD_COLLAR_BASE</f>
        <v>4512325.48907997</v>
      </c>
      <c r="C10" s="26" t="n">
        <f aca="false">B10-B6</f>
        <v>12325.9690799667</v>
      </c>
    </row>
    <row r="12" customFormat="false" ht="14.25" hidden="false" customHeight="true" outlineLevel="0" collapsed="false">
      <c r="A12" s="3" t="s">
        <v>151</v>
      </c>
    </row>
    <row r="13" customFormat="false" ht="27" hidden="false" customHeight="true" outlineLevel="0" collapsed="false">
      <c r="A13" s="7" t="s">
        <v>128</v>
      </c>
      <c r="B13" s="7" t="s">
        <v>129</v>
      </c>
      <c r="C13" s="7" t="s">
        <v>146</v>
      </c>
      <c r="D13" s="7" t="s">
        <v>147</v>
      </c>
      <c r="E13" s="7" t="s">
        <v>148</v>
      </c>
      <c r="F13" s="7" t="s">
        <v>149</v>
      </c>
      <c r="G13" s="7" t="s">
        <v>150</v>
      </c>
      <c r="H13" s="7" t="s">
        <v>152</v>
      </c>
      <c r="I13" s="7" t="s">
        <v>153</v>
      </c>
      <c r="J13" s="7" t="s">
        <v>154</v>
      </c>
      <c r="K13" s="7" t="s">
        <v>155</v>
      </c>
      <c r="L13" s="7" t="s">
        <v>156</v>
      </c>
      <c r="M13" s="7" t="s">
        <v>157</v>
      </c>
    </row>
    <row r="14" customFormat="false" ht="14.25" hidden="false" customHeight="true" outlineLevel="0" collapsed="false">
      <c r="A14" s="30" t="n">
        <v>-5</v>
      </c>
      <c r="B14" s="32" t="n">
        <f aca="false">Options!B10</f>
        <v>1.083</v>
      </c>
      <c r="C14" s="26" t="n">
        <f aca="false">B14*FC_AMT</f>
        <v>4274999.544</v>
      </c>
      <c r="D14" s="31" t="n">
        <f aca="false">USD_FWD</f>
        <v>4292762.7</v>
      </c>
      <c r="E14" s="31" t="n">
        <f aca="false">USD_MM</f>
        <v>4550979.64476033</v>
      </c>
      <c r="F14" s="31" t="n">
        <f aca="false">Options!C10</f>
        <v>4438369.67460017</v>
      </c>
      <c r="G14" s="31" t="n">
        <f aca="false">Options!D10</f>
        <v>4512325.48907997</v>
      </c>
      <c r="H14" s="26" t="n">
        <f aca="false">D14-C14</f>
        <v>17763.1559999995</v>
      </c>
      <c r="I14" s="26" t="n">
        <f aca="false">E14-C14</f>
        <v>275980.100760332</v>
      </c>
      <c r="J14" s="26" t="n">
        <f aca="false">F14-C14</f>
        <v>163370.130600167</v>
      </c>
      <c r="K14" s="26" t="n">
        <f aca="false">G14-C14</f>
        <v>237325.945079966</v>
      </c>
      <c r="L14" s="11" t="str">
        <f aca="false">INDEX($C$13:$G$13,MATCH(MAX(C14:G14),C14:G14,0))</f>
        <v>Money Market</v>
      </c>
      <c r="M14" s="11" t="str">
        <f aca="false">INDEX($D$13:$G$13,MATCH(MAX(D14:G14),D14:G14,0))</f>
        <v>Money Market</v>
      </c>
    </row>
    <row r="15" customFormat="false" ht="14.25" hidden="false" customHeight="true" outlineLevel="0" collapsed="false">
      <c r="A15" s="30" t="n">
        <v>-4</v>
      </c>
      <c r="B15" s="32" t="n">
        <f aca="false">Options!B11</f>
        <v>1.0944</v>
      </c>
      <c r="C15" s="26" t="n">
        <f aca="false">B15*FC_AMT</f>
        <v>4319999.5392</v>
      </c>
      <c r="D15" s="31" t="n">
        <f aca="false">USD_FWD</f>
        <v>4292762.7</v>
      </c>
      <c r="E15" s="31" t="n">
        <f aca="false">USD_MM</f>
        <v>4550979.64476033</v>
      </c>
      <c r="F15" s="31" t="n">
        <f aca="false">Options!C11</f>
        <v>4438369.67460017</v>
      </c>
      <c r="G15" s="31" t="n">
        <f aca="false">Options!D11</f>
        <v>4512325.48907997</v>
      </c>
      <c r="H15" s="26" t="n">
        <f aca="false">D15-C15</f>
        <v>-27236.8392000003</v>
      </c>
      <c r="I15" s="26" t="n">
        <f aca="false">E15-C15</f>
        <v>230980.105560333</v>
      </c>
      <c r="J15" s="26" t="n">
        <f aca="false">F15-C15</f>
        <v>118370.135400167</v>
      </c>
      <c r="K15" s="26" t="n">
        <f aca="false">G15-C15</f>
        <v>192325.949879967</v>
      </c>
      <c r="L15" s="11" t="str">
        <f aca="false">INDEX($C$13:$G$13,MATCH(MAX(C15:G15),C15:G15,0))</f>
        <v>Money Market</v>
      </c>
      <c r="M15" s="11" t="str">
        <f aca="false">INDEX($D$13:$G$13,MATCH(MAX(D15:G15),D15:G15,0))</f>
        <v>Money Market</v>
      </c>
    </row>
    <row r="16" customFormat="false" ht="14.25" hidden="false" customHeight="true" outlineLevel="0" collapsed="false">
      <c r="A16" s="30" t="n">
        <v>-3</v>
      </c>
      <c r="B16" s="32" t="n">
        <f aca="false">Options!B12</f>
        <v>1.1058</v>
      </c>
      <c r="C16" s="26" t="n">
        <f aca="false">B16*FC_AMT</f>
        <v>4364999.5344</v>
      </c>
      <c r="D16" s="31" t="n">
        <f aca="false">USD_FWD</f>
        <v>4292762.7</v>
      </c>
      <c r="E16" s="31" t="n">
        <f aca="false">USD_MM</f>
        <v>4550979.64476033</v>
      </c>
      <c r="F16" s="31" t="n">
        <f aca="false">Options!C12</f>
        <v>4438369.67460017</v>
      </c>
      <c r="G16" s="31" t="n">
        <f aca="false">Options!D12</f>
        <v>4512325.48907997</v>
      </c>
      <c r="H16" s="26" t="n">
        <f aca="false">D16-C16</f>
        <v>-72236.8344000001</v>
      </c>
      <c r="I16" s="26" t="n">
        <f aca="false">E16-C16</f>
        <v>185980.110360333</v>
      </c>
      <c r="J16" s="26" t="n">
        <f aca="false">F16-C16</f>
        <v>73370.140200167</v>
      </c>
      <c r="K16" s="26" t="n">
        <f aca="false">G16-C16</f>
        <v>147325.954679967</v>
      </c>
      <c r="L16" s="11" t="str">
        <f aca="false">INDEX($C$13:$G$13,MATCH(MAX(C16:G16),C16:G16,0))</f>
        <v>Money Market</v>
      </c>
      <c r="M16" s="11" t="str">
        <f aca="false">INDEX($D$13:$G$13,MATCH(MAX(D16:G16),D16:G16,0))</f>
        <v>Money Market</v>
      </c>
    </row>
    <row r="17" customFormat="false" ht="14.25" hidden="false" customHeight="true" outlineLevel="0" collapsed="false">
      <c r="A17" s="30" t="n">
        <v>-2</v>
      </c>
      <c r="B17" s="32" t="n">
        <f aca="false">Options!B13</f>
        <v>1.1172</v>
      </c>
      <c r="C17" s="26" t="n">
        <f aca="false">B17*FC_AMT</f>
        <v>4409999.5296</v>
      </c>
      <c r="D17" s="31" t="n">
        <f aca="false">USD_FWD</f>
        <v>4292762.7</v>
      </c>
      <c r="E17" s="31" t="n">
        <f aca="false">USD_MM</f>
        <v>4550979.64476033</v>
      </c>
      <c r="F17" s="31" t="n">
        <f aca="false">Options!C13</f>
        <v>4438369.67460017</v>
      </c>
      <c r="G17" s="31" t="n">
        <f aca="false">Options!D13</f>
        <v>4512325.48907997</v>
      </c>
      <c r="H17" s="26" t="n">
        <f aca="false">D17-C17</f>
        <v>-117236.829600001</v>
      </c>
      <c r="I17" s="26" t="n">
        <f aca="false">E17-C17</f>
        <v>140980.115160332</v>
      </c>
      <c r="J17" s="26" t="n">
        <f aca="false">F17-C17</f>
        <v>28370.1450001663</v>
      </c>
      <c r="K17" s="26" t="n">
        <f aca="false">G17-C17</f>
        <v>102325.959479966</v>
      </c>
      <c r="L17" s="11" t="str">
        <f aca="false">INDEX($C$13:$G$13,MATCH(MAX(C17:G17),C17:G17,0))</f>
        <v>Money Market</v>
      </c>
      <c r="M17" s="11" t="str">
        <f aca="false">INDEX($D$13:$G$13,MATCH(MAX(D17:G17),D17:G17,0))</f>
        <v>Money Market</v>
      </c>
    </row>
    <row r="18" customFormat="false" ht="14.25" hidden="false" customHeight="true" outlineLevel="0" collapsed="false">
      <c r="A18" s="30" t="n">
        <v>-1</v>
      </c>
      <c r="B18" s="32" t="n">
        <f aca="false">Options!B14</f>
        <v>1.1286</v>
      </c>
      <c r="C18" s="26" t="n">
        <f aca="false">B18*FC_AMT</f>
        <v>4454999.5248</v>
      </c>
      <c r="D18" s="31" t="n">
        <f aca="false">USD_FWD</f>
        <v>4292762.7</v>
      </c>
      <c r="E18" s="31" t="n">
        <f aca="false">USD_MM</f>
        <v>4550979.64476033</v>
      </c>
      <c r="F18" s="31" t="n">
        <f aca="false">Options!C14</f>
        <v>4438369.67460017</v>
      </c>
      <c r="G18" s="31" t="n">
        <f aca="false">Options!D14</f>
        <v>4512325.48907997</v>
      </c>
      <c r="H18" s="26" t="n">
        <f aca="false">D18-C18</f>
        <v>-162236.8248</v>
      </c>
      <c r="I18" s="26" t="n">
        <f aca="false">E18-C18</f>
        <v>95980.1199603332</v>
      </c>
      <c r="J18" s="26" t="n">
        <f aca="false">F18-C18</f>
        <v>-16629.8501998326</v>
      </c>
      <c r="K18" s="26" t="n">
        <f aca="false">G18-C18</f>
        <v>57325.9642799674</v>
      </c>
      <c r="L18" s="11" t="str">
        <f aca="false">INDEX($C$13:$G$13,MATCH(MAX(C18:G18),C18:G18,0))</f>
        <v>Money Market</v>
      </c>
      <c r="M18" s="11" t="str">
        <f aca="false">INDEX($D$13:$G$13,MATCH(MAX(D18:G18),D18:G18,0))</f>
        <v>Money Market</v>
      </c>
    </row>
    <row r="19" customFormat="false" ht="14.25" hidden="false" customHeight="true" outlineLevel="0" collapsed="false">
      <c r="A19" s="30" t="n">
        <v>0</v>
      </c>
      <c r="B19" s="33" t="n">
        <f aca="false">Options!B15</f>
        <v>1.14</v>
      </c>
      <c r="C19" s="26" t="n">
        <f aca="false">B19*FC_AMT</f>
        <v>4499999.52</v>
      </c>
      <c r="D19" s="31" t="n">
        <f aca="false">USD_FWD</f>
        <v>4292762.7</v>
      </c>
      <c r="E19" s="31" t="n">
        <f aca="false">USD_MM</f>
        <v>4550979.64476033</v>
      </c>
      <c r="F19" s="31" t="n">
        <f aca="false">Options!C15</f>
        <v>4438369.67460017</v>
      </c>
      <c r="G19" s="31" t="n">
        <f aca="false">Options!D15</f>
        <v>4512325.48907997</v>
      </c>
      <c r="H19" s="26" t="n">
        <f aca="false">D19-C19</f>
        <v>-207236.82</v>
      </c>
      <c r="I19" s="26" t="n">
        <f aca="false">E19-C19</f>
        <v>50980.1247603325</v>
      </c>
      <c r="J19" s="26" t="n">
        <f aca="false">F19-C19</f>
        <v>-61629.8453998333</v>
      </c>
      <c r="K19" s="26" t="n">
        <f aca="false">G19-C19</f>
        <v>12325.9690799667</v>
      </c>
      <c r="L19" s="11" t="str">
        <f aca="false">INDEX($C$13:$G$13,MATCH(MAX(C19:G19),C19:G19,0))</f>
        <v>Money Market</v>
      </c>
      <c r="M19" s="11" t="str">
        <f aca="false">INDEX($D$13:$G$13,MATCH(MAX(D19:G19),D19:G19,0))</f>
        <v>Money Market</v>
      </c>
    </row>
    <row r="20" customFormat="false" ht="14.25" hidden="false" customHeight="true" outlineLevel="0" collapsed="false">
      <c r="A20" s="30" t="n">
        <v>1</v>
      </c>
      <c r="B20" s="32" t="n">
        <f aca="false">Options!B16</f>
        <v>1.1514</v>
      </c>
      <c r="C20" s="26" t="n">
        <f aca="false">B20*FC_AMT</f>
        <v>4544999.5152</v>
      </c>
      <c r="D20" s="31" t="n">
        <f aca="false">USD_FWD</f>
        <v>4292762.7</v>
      </c>
      <c r="E20" s="31" t="n">
        <f aca="false">USD_MM</f>
        <v>4550979.64476033</v>
      </c>
      <c r="F20" s="31" t="n">
        <f aca="false">Options!C16</f>
        <v>4483369.66980017</v>
      </c>
      <c r="G20" s="31" t="n">
        <f aca="false">Options!D16</f>
        <v>4512325.48907997</v>
      </c>
      <c r="H20" s="26" t="n">
        <f aca="false">D20-C20</f>
        <v>-252236.815200001</v>
      </c>
      <c r="I20" s="26" t="n">
        <f aca="false">E20-C20</f>
        <v>5980.12956033181</v>
      </c>
      <c r="J20" s="26" t="n">
        <f aca="false">F20-C20</f>
        <v>-61629.8453998333</v>
      </c>
      <c r="K20" s="26" t="n">
        <f aca="false">G20-C20</f>
        <v>-32674.026120034</v>
      </c>
      <c r="L20" s="11" t="str">
        <f aca="false">INDEX($C$13:$G$13,MATCH(MAX(C20:G20),C20:G20,0))</f>
        <v>Money Market</v>
      </c>
      <c r="M20" s="11" t="str">
        <f aca="false">INDEX($D$13:$G$13,MATCH(MAX(D20:G20),D20:G20,0))</f>
        <v>Money Market</v>
      </c>
    </row>
    <row r="21" customFormat="false" ht="14.25" hidden="false" customHeight="true" outlineLevel="0" collapsed="false">
      <c r="A21" s="30" t="n">
        <v>2</v>
      </c>
      <c r="B21" s="32" t="n">
        <f aca="false">Options!B17</f>
        <v>1.1628</v>
      </c>
      <c r="C21" s="26" t="n">
        <f aca="false">B21*FC_AMT</f>
        <v>4589999.5104</v>
      </c>
      <c r="D21" s="31" t="n">
        <f aca="false">USD_FWD</f>
        <v>4292762.7</v>
      </c>
      <c r="E21" s="31" t="n">
        <f aca="false">USD_MM</f>
        <v>4550979.64476033</v>
      </c>
      <c r="F21" s="31" t="n">
        <f aca="false">Options!C17</f>
        <v>4528369.66500017</v>
      </c>
      <c r="G21" s="31" t="n">
        <f aca="false">Options!D17</f>
        <v>4512325.48907997</v>
      </c>
      <c r="H21" s="26" t="n">
        <f aca="false">D21-C21</f>
        <v>-297236.8104</v>
      </c>
      <c r="I21" s="26" t="n">
        <f aca="false">E21-C21</f>
        <v>-39019.865639667</v>
      </c>
      <c r="J21" s="26" t="n">
        <f aca="false">F21-C21</f>
        <v>-61629.8453998333</v>
      </c>
      <c r="K21" s="26" t="n">
        <f aca="false">G21-C21</f>
        <v>-77674.0213200329</v>
      </c>
      <c r="L21" s="11" t="str">
        <f aca="false">INDEX($C$13:$G$13,MATCH(MAX(C21:G21),C21:G21,0))</f>
        <v>No Hedge</v>
      </c>
      <c r="M21" s="11" t="str">
        <f aca="false">INDEX($D$13:$G$13,MATCH(MAX(D21:G21),D21:G21,0))</f>
        <v>Money Market</v>
      </c>
    </row>
    <row r="22" customFormat="false" ht="14.25" hidden="false" customHeight="true" outlineLevel="0" collapsed="false">
      <c r="A22" s="30" t="n">
        <v>3</v>
      </c>
      <c r="B22" s="32" t="n">
        <f aca="false">Options!B18</f>
        <v>1.1742</v>
      </c>
      <c r="C22" s="26" t="n">
        <f aca="false">B22*FC_AMT</f>
        <v>4634999.5056</v>
      </c>
      <c r="D22" s="31" t="n">
        <f aca="false">USD_FWD</f>
        <v>4292762.7</v>
      </c>
      <c r="E22" s="31" t="n">
        <f aca="false">USD_MM</f>
        <v>4550979.64476033</v>
      </c>
      <c r="F22" s="31" t="n">
        <f aca="false">Options!C18</f>
        <v>4573369.66020017</v>
      </c>
      <c r="G22" s="31" t="n">
        <f aca="false">Options!D18</f>
        <v>4512325.48907997</v>
      </c>
      <c r="H22" s="26" t="n">
        <f aca="false">D22-C22</f>
        <v>-342236.805600001</v>
      </c>
      <c r="I22" s="26" t="n">
        <f aca="false">E22-C22</f>
        <v>-84019.8608396677</v>
      </c>
      <c r="J22" s="26" t="n">
        <f aca="false">F22-C22</f>
        <v>-61629.8453998333</v>
      </c>
      <c r="K22" s="26" t="n">
        <f aca="false">G22-C22</f>
        <v>-122674.016520034</v>
      </c>
      <c r="L22" s="11" t="str">
        <f aca="false">INDEX($C$13:$G$13,MATCH(MAX(C22:G22),C22:G22,0))</f>
        <v>No Hedge</v>
      </c>
      <c r="M22" s="11" t="str">
        <f aca="false">INDEX($D$13:$G$13,MATCH(MAX(D22:G22),D22:G22,0))</f>
        <v>Protective Put</v>
      </c>
    </row>
    <row r="23" customFormat="false" ht="14.25" hidden="false" customHeight="true" outlineLevel="0" collapsed="false">
      <c r="A23" s="30" t="n">
        <v>4</v>
      </c>
      <c r="B23" s="32" t="n">
        <f aca="false">Options!B19</f>
        <v>1.1856</v>
      </c>
      <c r="C23" s="26" t="n">
        <f aca="false">B23*FC_AMT</f>
        <v>4679999.5008</v>
      </c>
      <c r="D23" s="31" t="n">
        <f aca="false">USD_FWD</f>
        <v>4292762.7</v>
      </c>
      <c r="E23" s="31" t="n">
        <f aca="false">USD_MM</f>
        <v>4550979.64476033</v>
      </c>
      <c r="F23" s="31" t="n">
        <f aca="false">Options!C19</f>
        <v>4618369.65540017</v>
      </c>
      <c r="G23" s="31" t="n">
        <f aca="false">Options!D19</f>
        <v>4512325.48907997</v>
      </c>
      <c r="H23" s="26" t="n">
        <f aca="false">D23-C23</f>
        <v>-387236.8008</v>
      </c>
      <c r="I23" s="26" t="n">
        <f aca="false">E23-C23</f>
        <v>-129019.856039668</v>
      </c>
      <c r="J23" s="26" t="n">
        <f aca="false">F23-C23</f>
        <v>-61629.8453998333</v>
      </c>
      <c r="K23" s="26" t="n">
        <f aca="false">G23-C23</f>
        <v>-167674.011720033</v>
      </c>
      <c r="L23" s="11" t="str">
        <f aca="false">INDEX($C$13:$G$13,MATCH(MAX(C23:G23),C23:G23,0))</f>
        <v>No Hedge</v>
      </c>
      <c r="M23" s="11" t="str">
        <f aca="false">INDEX($D$13:$G$13,MATCH(MAX(D23:G23),D23:G23,0))</f>
        <v>Protective Put</v>
      </c>
    </row>
    <row r="24" customFormat="false" ht="14.25" hidden="false" customHeight="true" outlineLevel="0" collapsed="false">
      <c r="A24" s="30" t="n">
        <v>5</v>
      </c>
      <c r="B24" s="32" t="n">
        <f aca="false">Options!B20</f>
        <v>1.197</v>
      </c>
      <c r="C24" s="26" t="n">
        <f aca="false">B24*FC_AMT</f>
        <v>4724999.496</v>
      </c>
      <c r="D24" s="31" t="n">
        <f aca="false">USD_FWD</f>
        <v>4292762.7</v>
      </c>
      <c r="E24" s="31" t="n">
        <f aca="false">USD_MM</f>
        <v>4550979.64476033</v>
      </c>
      <c r="F24" s="31" t="n">
        <f aca="false">Options!C20</f>
        <v>4663369.65060017</v>
      </c>
      <c r="G24" s="31" t="n">
        <f aca="false">Options!D20</f>
        <v>4512325.48907997</v>
      </c>
      <c r="H24" s="26" t="n">
        <f aca="false">D24-C24</f>
        <v>-432236.796</v>
      </c>
      <c r="I24" s="26" t="n">
        <f aca="false">E24-C24</f>
        <v>-174019.851239667</v>
      </c>
      <c r="J24" s="26" t="n">
        <f aca="false">F24-C24</f>
        <v>-61629.8453998333</v>
      </c>
      <c r="K24" s="26" t="n">
        <f aca="false">G24-C24</f>
        <v>-212674.006920033</v>
      </c>
      <c r="L24" s="11" t="str">
        <f aca="false">INDEX($C$13:$G$13,MATCH(MAX(C24:G24),C24:G24,0))</f>
        <v>No Hedge</v>
      </c>
      <c r="M24" s="11" t="str">
        <f aca="false">INDEX($D$13:$G$13,MATCH(MAX(D24:G24),D24:G24,0))</f>
        <v>Protective Put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95"/>
  </cols>
  <sheetData>
    <row r="1" customFormat="false" ht="17.25" hidden="false" customHeight="true" outlineLevel="0" collapsed="false">
      <c r="A1" s="34" t="s">
        <v>158</v>
      </c>
    </row>
    <row r="3" customFormat="false" ht="14.25" hidden="false" customHeight="true" outlineLevel="0" collapsed="false">
      <c r="A3" s="3" t="s">
        <v>159</v>
      </c>
    </row>
    <row r="4" customFormat="false" ht="60" hidden="false" customHeight="true" outlineLevel="0" collapsed="false">
      <c r="A4" s="35" t="s">
        <v>160</v>
      </c>
    </row>
    <row r="6" customFormat="false" ht="14.25" hidden="false" customHeight="true" outlineLevel="0" collapsed="false">
      <c r="A6" s="3" t="s">
        <v>161</v>
      </c>
    </row>
    <row r="7" customFormat="false" ht="60" hidden="false" customHeight="true" outlineLevel="0" collapsed="false">
      <c r="A7" s="35" t="s">
        <v>162</v>
      </c>
    </row>
    <row r="9" customFormat="false" ht="14.25" hidden="false" customHeight="true" outlineLevel="0" collapsed="false">
      <c r="A9" s="3" t="s">
        <v>163</v>
      </c>
    </row>
    <row r="10" customFormat="false" ht="60" hidden="false" customHeight="true" outlineLevel="0" collapsed="false">
      <c r="A10" s="35" t="s">
        <v>164</v>
      </c>
    </row>
    <row r="12" customFormat="false" ht="14.25" hidden="false" customHeight="true" outlineLevel="0" collapsed="false">
      <c r="A12" s="3" t="s">
        <v>165</v>
      </c>
    </row>
    <row r="13" customFormat="false" ht="60" hidden="false" customHeight="true" outlineLevel="0" collapsed="false">
      <c r="A13" s="35" t="s">
        <v>166</v>
      </c>
    </row>
    <row r="15" customFormat="false" ht="14.25" hidden="false" customHeight="true" outlineLevel="0" collapsed="false">
      <c r="A15" s="3" t="s">
        <v>167</v>
      </c>
    </row>
    <row r="16" customFormat="false" ht="60" hidden="false" customHeight="true" outlineLevel="0" collapsed="false">
      <c r="A16" s="35" t="s">
        <v>168</v>
      </c>
    </row>
    <row r="18" customFormat="false" ht="14.25" hidden="false" customHeight="true" outlineLevel="0" collapsed="false">
      <c r="A18" s="3" t="s">
        <v>169</v>
      </c>
    </row>
    <row r="19" customFormat="false" ht="60" hidden="false" customHeight="true" outlineLevel="0" collapsed="false">
      <c r="A19" s="35" t="s">
        <v>170</v>
      </c>
    </row>
    <row r="21" customFormat="false" ht="14.25" hidden="false" customHeight="true" outlineLevel="0" collapsed="false">
      <c r="A21" s="3" t="s">
        <v>171</v>
      </c>
    </row>
    <row r="22" customFormat="false" ht="60" hidden="false" customHeight="true" outlineLevel="0" collapsed="false">
      <c r="A22" s="35" t="s">
        <v>172</v>
      </c>
    </row>
    <row r="24" customFormat="false" ht="14.25" hidden="false" customHeight="true" outlineLevel="0" collapsed="false">
      <c r="A24" s="3" t="s">
        <v>173</v>
      </c>
    </row>
    <row r="25" customFormat="false" ht="60" hidden="false" customHeight="true" outlineLevel="0" collapsed="false">
      <c r="A25" s="35" t="s">
        <v>174</v>
      </c>
    </row>
    <row r="27" customFormat="false" ht="14.25" hidden="false" customHeight="true" outlineLevel="0" collapsed="false">
      <c r="A27" s="3" t="s">
        <v>175</v>
      </c>
    </row>
    <row r="28" customFormat="false" ht="60" hidden="false" customHeight="true" outlineLevel="0" collapsed="false">
      <c r="A28" s="35" t="s">
        <v>176</v>
      </c>
    </row>
    <row r="30" customFormat="false" ht="14.25" hidden="false" customHeight="true" outlineLevel="0" collapsed="false">
      <c r="A30" s="6" t="s">
        <v>177</v>
      </c>
    </row>
    <row r="31" customFormat="false" ht="75" hidden="false" customHeight="true" outlineLevel="0" collapsed="false">
      <c r="A31" s="35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2026-08-04T03:48:16Z</dcterms:created>
  <dc:creator>openpyxl</dc:creator>
  <dc:description/>
  <dc:language>en-US</dc:language>
  <cp:lastModifiedBy/>
  <dcterms:modified xsi:type="dcterms:W3CDTF">2026-08-06T08:09:58Z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